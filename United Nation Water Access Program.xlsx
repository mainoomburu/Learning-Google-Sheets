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n the use of water (" sheetId="1" r:id="rId5"/>
    <sheet state="visible" name="Global report 2020" sheetId="2" r:id="rId6"/>
    <sheet state="visible" name="Pivot Table 1" sheetId="3" r:id="rId7"/>
  </sheets>
  <definedNames>
    <definedName hidden="1" localSheetId="0" name="_xlnm._FilterDatabase">'Estimates on the use of water ('!$A$1:$Q$214</definedName>
    <definedName hidden="1" localSheetId="1" name="_xlnm._FilterDatabase">'Global report 2020'!$A$1:$T$214</definedName>
    <definedName hidden="1" localSheetId="2" name="_xlnm._FilterDatabase">'Pivot Table 1'!$A$1:$G$7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<sst xmlns="http://schemas.openxmlformats.org/spreadsheetml/2006/main" count="1459" uniqueCount="270">
  <si>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</si>
  <si>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</si>
  <si>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</si>
  <si>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</si>
  <si>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</si>
  <si>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</si>
  <si>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</si>
  <si>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</si>
  <si>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</si>
  <si>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</si>
  <si>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</si>
  <si>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</si>
  <si>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</si>
  <si>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</si>
  <si>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</si>
  <si>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</si>
  <si>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</si>
  <si>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</si>
  <si>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</si>
  <si>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</si>
  <si>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</si>
  <si>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</si>
  <si>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</si>
  <si>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</si>
  <si>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</si>
  <si>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</si>
  <si>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</si>
  <si>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</si>
  <si>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</si>
  <si>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</si>
  <si>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</si>
  <si>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</si>
  <si>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</si>
  <si>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</si>
  <si>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</si>
  <si>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</si>
  <si>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</si>
  <si>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</si>
  <si>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</si>
  <si>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</si>
  <si>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</si>
  <si>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</si>
  <si>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</si>
  <si>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</si>
  <si>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</si>
  <si>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</si>
  <si>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</si>
  <si>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</si>
  <si>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</si>
  <si>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</si>
  <si>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</si>
  <si>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</si>
  <si>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</si>
  <si>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</si>
  <si>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</si>
  <si>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</si>
  <si>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</si>
  <si>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</si>
  <si>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</si>
  <si>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</si>
  <si>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</si>
  <si>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</si>
  <si>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</si>
  <si>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</si>
  <si>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</si>
  <si>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</si>
  <si>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</si>
  <si>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</si>
  <si>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</si>
  <si>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</si>
  <si>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</si>
  <si>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</si>
  <si>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</si>
  <si>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</si>
  <si>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</si>
  <si>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</si>
  <si>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</si>
  <si>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</si>
  <si>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</si>
  <si>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</si>
  <si>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</si>
  <si>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</si>
  <si>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</si>
  <si>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</si>
  <si>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</si>
  <si>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</si>
  <si>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</si>
  <si>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</si>
  <si>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</si>
  <si>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</si>
  <si>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</si>
  <si>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</si>
  <si>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</si>
  <si>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</si>
  <si>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</si>
  <si>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</si>
  <si>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</si>
  <si>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</si>
  <si>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</si>
  <si>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</si>
  <si>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</si>
  <si>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</si>
  <si>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</si>
  <si>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</si>
  <si>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</si>
  <si>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</si>
  <si>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</si>
  <si>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</si>
  <si>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</si>
  <si>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</si>
  <si>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</si>
  <si>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</si>
  <si>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</si>
  <si>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</si>
  <si>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</si>
  <si>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</si>
  <si>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</si>
  <si>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</si>
  <si>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</si>
  <si>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</si>
  <si>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</si>
  <si>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</si>
  <si>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</si>
  <si>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</si>
  <si>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</si>
  <si>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</si>
  <si>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</si>
  <si>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</si>
  <si>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</si>
  <si>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</si>
  <si>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</si>
  <si>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</si>
  <si>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</si>
  <si>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</si>
  <si>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</si>
  <si>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</si>
  <si>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</si>
  <si>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</si>
  <si>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</si>
  <si>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</si>
  <si>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</si>
  <si>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</si>
  <si>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</si>
  <si>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</si>
  <si>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</si>
  <si>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</si>
  <si>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</si>
  <si>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</si>
  <si>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</si>
  <si>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</si>
  <si>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</si>
  <si>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</si>
  <si>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</si>
  <si>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</si>
  <si>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</si>
  <si>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</si>
  <si>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</si>
  <si>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</si>
  <si>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</si>
  <si>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</si>
  <si>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</si>
  <si>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</si>
  <si>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</si>
  <si>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</si>
  <si>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</si>
  <si>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</si>
  <si>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</si>
  <si>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</si>
  <si>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</si>
  <si>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</si>
  <si>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</si>
  <si>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</si>
  <si>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</si>
  <si>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</si>
  <si>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</si>
  <si>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</si>
  <si>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</si>
  <si>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</si>
  <si>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</si>
  <si>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</si>
  <si>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</si>
  <si>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</si>
  <si>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</si>
  <si>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</si>
  <si>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</si>
  <si>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</si>
  <si>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</si>
  <si>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</si>
  <si>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</si>
  <si>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</si>
  <si>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</si>
  <si>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</si>
  <si>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</si>
  <si>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</si>
  <si>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</si>
  <si>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</si>
  <si>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</si>
  <si>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</si>
  <si>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</si>
  <si>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</si>
  <si>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</si>
  <si>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</si>
  <si>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</si>
  <si>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</si>
  <si>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</si>
  <si>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</si>
  <si>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</si>
  <si>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</si>
  <si>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</si>
  <si>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</si>
  <si>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</si>
  <si>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</si>
  <si>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</si>
  <si>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</si>
  <si>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</si>
  <si>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</si>
  <si>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</si>
  <si>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</si>
  <si>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</si>
  <si>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</si>
  <si>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</si>
  <si>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</si>
  <si>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</si>
  <si>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</si>
  <si>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</si>
  <si>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</si>
  <si>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</si>
  <si>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</si>
  <si>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</si>
  <si>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</si>
  <si>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</si>
  <si>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</si>
  <si>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</si>
  <si>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</si>
  <si>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</si>
  <si>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Income group as value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</si>
  <si>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</si>
  <si>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</si>
  <si>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</si>
  <si>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</si>
  <si>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</si>
  <si>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</si>
  <si>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pop_n rounded (millions)</t>
  </si>
  <si>
    <t>actual pop_n</t>
  </si>
  <si>
    <t>actual pop_u</t>
  </si>
  <si>
    <t>pop_r</t>
  </si>
  <si>
    <t>wat_bas_n(rounded)</t>
  </si>
  <si>
    <t>Global pop in billions</t>
  </si>
  <si>
    <t>estimated pop u val</t>
  </si>
  <si>
    <t>urban pop estimated</t>
  </si>
  <si>
    <t xml:space="preserve">actual pop_n </t>
  </si>
  <si>
    <t>actual pop_u val</t>
  </si>
  <si>
    <t>actual pop %</t>
  </si>
  <si>
    <t>actual pop_n in billions</t>
  </si>
  <si>
    <t>actual pop_u in billions</t>
  </si>
  <si>
    <t>difference in valuation</t>
  </si>
  <si>
    <t>Mode</t>
  </si>
  <si>
    <t>Max</t>
  </si>
  <si>
    <t>Min</t>
  </si>
  <si>
    <t>Range</t>
  </si>
  <si>
    <t>Mean</t>
  </si>
  <si>
    <t>Median</t>
  </si>
  <si>
    <t>First Quartile</t>
  </si>
  <si>
    <t>Second Quartile</t>
  </si>
  <si>
    <t>Third Quartile</t>
  </si>
  <si>
    <t>Interquartile range</t>
  </si>
  <si>
    <t>Basic</t>
  </si>
  <si>
    <t>Limited</t>
  </si>
  <si>
    <t>Unimproved</t>
  </si>
  <si>
    <t>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</si>
</sst>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Access to water across the income groups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Basic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1'!$A$2:$A$1000</c:f>
            </c:strRef>
          </c:cat>
          <c:val>
            <c:numRef>
              <c:f>'Pivot Table 1'!$D$2:$D$1000</c:f>
              <c:numCache/>
            </c:numRef>
          </c:val>
        </c:ser>
        <c:ser>
          <c:idx val="1"/>
          <c:order val="1"/>
          <c:tx>
            <c:v>Limited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1'!$A$2:$A$1000</c:f>
            </c:strRef>
          </c:cat>
          <c:val>
            <c:numRef>
              <c:f>'Pivot Table 1'!$E$2:$E$1000</c:f>
              <c:numCache/>
            </c:numRef>
          </c:val>
        </c:ser>
        <c:ser>
          <c:idx val="2"/>
          <c:order val="2"/>
          <c:tx>
            <c:v>Unimproved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Table 1'!$A$2:$A$1000</c:f>
            </c:strRef>
          </c:cat>
          <c:val>
            <c:numRef>
              <c:f>'Pivot Table 1'!$F$2:$F$1000</c:f>
              <c:numCache/>
            </c:numRef>
          </c:val>
        </c:ser>
        <c:ser>
          <c:idx val="3"/>
          <c:order val="3"/>
          <c:tx>
            <c:v>Surface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'Pivot Table 1'!$A$2:$A$1000</c:f>
            </c:strRef>
          </c:cat>
          <c:val>
            <c:numRef>
              <c:f>'Pivot Table 1'!$G$2:$G$1000</c:f>
              <c:numCache/>
            </c:numRef>
          </c:val>
        </c:ser>
        <c:overlap val="100"/>
        <c:axId val="1920722590"/>
        <c:axId val="879460499"/>
      </c:barChart>
      <c:catAx>
        <c:axId val="1920722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groups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460499"/>
      </c:catAx>
      <c:valAx>
        <c:axId val="879460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722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</xdr:colOff>
      <xdr:row>15</xdr:row>
      <xdr:rowOff>180975</xdr:rowOff>
    </xdr:from>
    <xdr:ext cx="7743825" cy="3362325"/>
    <xdr:pic>
      <xdr:nvPicPr>
        <xdr:cNvPr id="81814454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1</xdr:row>
      <xdr:rowOff>104775</xdr:rowOff>
    </xdr:from>
    <xdr:ext cx="5715000" cy="3533775"/>
    <xdr:pic>
      <xdr:nvPicPr>
        <xdr:cNvPr id="42349727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600075</xdr:colOff>
      <xdr:row>4</xdr:row>
      <xdr:rowOff>28575</xdr:rowOff>
    </xdr:from>
    <xdr:ext cx="5715000" cy="3533775"/>
    <xdr:pic>
      <xdr:nvPicPr>
        <xdr:cNvPr id="203071244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19</xdr:row>
      <xdr:rowOff>152400</xdr:rowOff>
    </xdr:from>
    <xdr:ext cx="5715000" cy="3533775"/>
    <xdr:pic>
      <xdr:nvPicPr>
        <xdr:cNvPr id="180301442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7</xdr:row>
      <xdr:rowOff>200025</xdr:rowOff>
    </xdr:from>
    <xdr:ext cx="6524625" cy="4038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00" sheet="Global report 2020"/>
  </cacheSource>
  <cacheFields>
    <cacheField name="income_group" numFmtId="0">
      <sharedItems containsBlank="1">
        <s v="NAN"/>
        <s v="High income"/>
        <s v="Upper middle income"/>
        <s v="Lower middle income"/>
        <s v="Low income"/>
        <m/>
      </sharedItems>
    </cacheField>
    <cacheField name="pop_n" numFmtId="0">
      <sharedItems containsString="0" containsBlank="1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  <m/>
      </sharedItems>
    </cacheField>
    <cacheField name="pop_n rounded (millions)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  <m/>
      </sharedItems>
    </cacheField>
    <cacheField name="actual pop_n" numFmtId="0">
      <sharedItems containsString="0" containsBlank="1" containsNumber="1">
        <n v="1350.0000240000002"/>
        <n v="1618.000031"/>
        <n v="3483.00004"/>
        <n v="4999.000072000001"/>
        <n v="5795.000076"/>
        <n v="6071.000099"/>
        <n v="9885.0"/>
        <n v="10833.999629999998"/>
        <n v="11246.00029"/>
        <n v="11791.999819999999"/>
        <n v="17563.99918"/>
        <n v="18091.99905"/>
        <n v="30236.99951"/>
        <n v="33691.00189"/>
        <n v="33937.99973"/>
        <n v="38137.00104"/>
        <n v="38659.0"/>
        <n v="39243.99948"/>
        <n v="48865.00168"/>
        <n v="55196.9986"/>
        <n v="56771.99936"/>
        <n v="57556.99921"/>
        <n v="59194.00024"/>
        <n v="62272.99881"/>
        <n v="77264.99939"/>
        <n v="85031.99768"/>
        <n v="104422.9965"/>
        <n v="105696.9986"/>
        <n v="119445.9991"/>
        <n v="168783.0048"/>
        <n v="183628.9978"/>
        <n v="198410.0037"/>
        <n v="219160.99550000002"/>
        <n v="272812.98829999997"/>
        <n v="280903.9917"/>
        <n v="285490.9973"/>
        <n v="287371.00220000005"/>
        <n v="298682.00680000003"/>
        <n v="307149.9939"/>
        <n v="341250.0"/>
        <n v="375265.0146"/>
        <n v="397621.00220000005"/>
        <n v="400127.01420000003"/>
        <n v="437483.00169999996"/>
        <n v="441539.00149999995"/>
        <n v="540541.9922"/>
        <n v="555987.9761"/>
        <n v="586633.9722"/>
        <n v="625976.0132"/>
        <n v="628062.0116999999"/>
        <n v="649341.98"/>
        <n v="686877.9907000001"/>
        <n v="771611.9995"/>
        <n v="786559.0210000001"/>
        <n v="895307.9834"/>
        <n v="896443.9697"/>
        <n v="988002.0142"/>
        <n v="1160163.94"/>
        <n v="1207360.962"/>
        <n v="1271766.9679999999"/>
        <n v="1318442.017"/>
        <n v="1326538.94"/>
        <n v="1399490.967"/>
        <n v="1701583.0080000001"/>
        <n v="1886202.0259999998"/>
        <n v="1967998.047"/>
        <n v="2078931.885"/>
        <n v="2083379.8830000001"/>
        <n v="2142251.9529999997"/>
        <n v="2225728.0270000002"/>
        <n v="2351625.0"/>
        <n v="2416664.063"/>
        <n v="2540916.0160000003"/>
        <n v="2722291.0160000003"/>
        <n v="2860840.088"/>
        <n v="2877800.049"/>
        <n v="2881060.059"/>
        <n v="2961160.8890000004"/>
        <n v="2963233.8869999996"/>
        <n v="3278291.992"/>
        <n v="3280814.941"/>
        <n v="3473727.051"/>
        <n v="3989175.049"/>
        <n v="4033962.8910000003"/>
        <n v="4105268.0659999996"/>
        <n v="4270562.988"/>
        <n v="4314768.066"/>
        <n v="4649660.1559999995"/>
        <n v="4822232.91"/>
        <n v="4829764.16"/>
        <n v="4937795.898"/>
        <n v="5057676.757999999"/>
        <n v="5094113.77"/>
        <n v="5101416.016"/>
        <n v="5106622.07"/>
        <n v="5421242.188"/>
        <n v="5459643.066"/>
        <n v="5518091.797"/>
        <n v="5540717.773"/>
        <n v="5792203.125"/>
        <n v="5850342.773"/>
        <n v="6031187.012"/>
        <n v="6486201.172"/>
        <n v="6524190.9180000005"/>
        <n v="6624554.199"/>
        <n v="6825441.895"/>
        <n v="6871287.109"/>
        <n v="6948444.824"/>
        <n v="7132529.785"/>
        <n v="7275556.152"/>
        <n v="7496987.7930000005"/>
        <n v="7976984.863"/>
        <n v="8278737.305000001"/>
        <n v="8654618.163999999"/>
        <n v="8655541.015999999"/>
        <n v="8737370.117"/>
        <n v="8947027.344"/>
        <n v="9006400.390999999"/>
        <n v="9449321.288999999"/>
        <n v="9537641.602"/>
        <n v="9660349.609000001"/>
        <n v="9890400.390999999"/>
        <n v="9904608.398"/>
        <n v="1.009926953E7"/>
        <n v="1.01391748E7"/>
        <n v="1.019670703E7"/>
        <n v="1.0203139649999999E7"/>
        <n v="1.042305566E7"/>
        <n v="1.070898242E7"/>
        <n v="1.08479043E7"/>
        <n v="1.1193728520000001E7"/>
        <n v="1.132661621E7"/>
        <n v="1.14025332E7"/>
        <n v="1.158961621E7"/>
        <n v="1.16730293E7"/>
        <n v="1.181861816E7"/>
        <n v="1.189078125E7"/>
        <n v="1.212319824E7"/>
        <n v="1.2952208979999999E7"/>
        <n v="1.313279199E7"/>
        <n v="1.486292676E7"/>
        <n v="1.589321875E7"/>
        <n v="1.642585938E7"/>
        <n v="1.6718970700000001E7"/>
        <n v="1.6743929690000001E7"/>
        <n v="1.7134873049999997E7"/>
        <n v="1.750065625E7"/>
        <n v="1.7643060549999997E7"/>
        <n v="1.791556641E7"/>
        <n v="1.838395508E7"/>
        <n v="1.877670703E7"/>
        <n v="1.911620898E7"/>
        <n v="1.912995508E7"/>
        <n v="1.923768164E7"/>
        <n v="2.025083398E7"/>
        <n v="2.090327734E7"/>
        <n v="2.141325E7"/>
        <n v="2.420663672E7"/>
        <n v="2.549988086E7"/>
        <n v="2.5778814450000003E7"/>
        <n v="2.637827539E7"/>
        <n v="2.654586328E7"/>
        <n v="2.769101953E7"/>
        <n v="2.843594336E7"/>
        <n v="2.913680859E7"/>
        <n v="2.982596875E7"/>
        <n v="3.107294531E7"/>
        <n v="3.1255435549999997E7"/>
        <n v="3.2365998049999997E7"/>
        <n v="3.2866269529999997E7"/>
        <n v="3.297184766E7"/>
        <n v="3.3469199220000003E7"/>
        <n v="3.481386719E7"/>
        <n v="3.691055859E7"/>
        <n v="3.774215625E7"/>
        <n v="3.784660547E7"/>
        <n v="3.892833984E7"/>
        <n v="4.022250391E7"/>
        <n v="4.373375781E7"/>
        <n v="4.384926953E7"/>
        <n v="4.385104297E7"/>
        <n v="4.519577734E7"/>
        <n v="4.5741E7"/>
        <n v="4.675478125E7"/>
        <n v="5.088288281E7"/>
        <n v="5.126918359E7"/>
        <n v="5.377130078E7"/>
        <n v="5.440979297E7"/>
        <n v="5.930869141E7"/>
        <n v="5.973421484E7"/>
        <n v="6.046182813E7"/>
        <n v="6.527351172E7"/>
        <n v="6.788600781E7"/>
        <n v="6.979997656E7"/>
        <n v="8.378394531E7"/>
        <n v="8.399295313E7"/>
        <n v="8.433907031E7"/>
        <n v="8.956140625E7"/>
        <n v="9.733858594E7"/>
        <n v="1.023344063E8"/>
        <n v="1.095810859E8"/>
        <n v="1.149635859E8"/>
        <n v="1.264764609E8"/>
        <n v="1.2893275E8"/>
        <n v="1.4593445310000002E8"/>
        <n v="1.6468939060000002E8"/>
        <n v="2.061395938E8"/>
        <n v="2.125594063E8"/>
        <n v="2.2089232810000002E8"/>
        <n v="2.73523625E8"/>
        <n v="3.3100265629999995E8"/>
        <n v="1.380004375E9"/>
        <n v="1.4631405E9"/>
        <m/>
      </sharedItems>
    </cacheField>
    <cacheField name="pop_u" numFmtId="0">
      <sharedItems containsString="0" containsBlank="1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  <m/>
      </sharedItems>
    </cacheField>
    <cacheField name="actual pop_u" numFmtId="0">
      <sharedItems containsString="0" containsBlank="1" containsNumber="1">
        <n v="0.0"/>
        <n v="747.5484306290211"/>
        <n v="2734.433518499498"/>
        <n v="455.65884511508995"/>
        <n v="5213.297851891619"/>
        <n v="2433.3783039994805"/>
        <n v="9885.0"/>
        <n v="10833.999629999998"/>
        <n v="7548.530757699601"/>
        <n v="13259.941663950975"/>
        <n v="14652.348002457209"/>
        <n v="14669.480127830804"/>
        <n v="33691.00189"/>
        <n v="33089.210543411704"/>
        <n v="5497.830211033304"/>
        <n v="38659.0"/>
        <n v="39243.99948"/>
        <n v="20717.78283079288"/>
        <n v="48105.8401236216"/>
        <n v="49551.73949598837"/>
        <n v="52836.17213181223"/>
        <n v="46049.375272520185"/>
        <n v="62272.99881"/>
        <n v="67928.2971495929"/>
        <n v="44980.228360604735"/>
        <n v="100182.38173438261"/>
        <n v="24414.948670783415"/>
        <n v="66404.80630295562"/>
        <n v="160239.21507194237"/>
        <n v="34597.53874098201"/>
        <n v="35493.565442847"/>
        <n v="162954.97516326496"/>
        <n v="124814.66877666155"/>
        <n v="174090.25528877642"/>
        <n v="204177.44499691745"/>
        <n v="89633.88923872782"/>
        <n v="256328.8973098458"/>
        <n v="78400.04064236992"/>
        <n v="320426.9079375"/>
        <n v="334511.2317253234"/>
        <n v="183005.07234615137"/>
        <n v="394121.07938786544"/>
        <n v="342330.48221020296"/>
        <n v="418331.726151947"/>
        <n v="219833.0158888805"/>
        <n v="370577.10822092026"/>
        <n v="388052.5184725646"/>
        <n v="572473.8139309235"/>
        <n v="423866.53184538253"/>
        <n v="649341.98"/>
        <n v="169452.80085519244"/>
        <n v="326515.31889346964"/>
        <n v="210687.69385914688"/>
        <n v="892255.0208690722"/>
        <n v="513187.3282799997"/>
        <n v="771254.0973495326"/>
        <n v="280423.2425277443"/>
        <n v="806770.6581554519"/>
        <n v="518372.19479111495"/>
        <n v="412936.03563722974"/>
        <n v="918349.6946402725"/>
        <n v="744725.1329758167"/>
        <n v="1523018.9608190244"/>
        <n v="1288558.9600852292"/>
        <n v="869776.4001241367"/>
        <n v="1145865.7564131776"/>
        <n v="1218402.1906753338"/>
        <n v="621852.8943461375"/>
        <n v="2005202.9579632345"/>
        <n v="1666761.225382125"/>
        <n v="1512396.629473407"/>
        <n v="1322114.8547439824"/>
        <n v="1852410.0799568337"/>
        <n v="2677202.7993700327"/>
        <n v="1787459.1523336598"/>
        <n v="2859019.9671231164"/>
        <n v="1667459.3324863093"/>
        <n v="1876112.2628755784"/>
        <n v="2250776.856891066"/>
        <n v="1608255.4991699487"/>
        <n v="3317930.3715729145"/>
        <n v="2371684.054390743"/>
        <n v="1728512.873729136"/>
        <n v="2362704.8310880195"/>
        <n v="4270562.988"/>
        <n v="2951905.4876688533"/>
        <n v="2572517.2815492232"/>
        <n v="4180827.590085078"/>
        <n v="2038063.786056399"/>
        <n v="3143055.2170285853"/>
        <n v="2634493.0891808723"/>
        <n v="4114566.433986851"/>
        <n v="3913755.0543720615"/>
        <n v="4405788.917522832"/>
        <n v="4498221.026302167"/>
        <n v="2935104.0205595964"/>
        <n v="3742866.616317715"/>
        <n v="4738255.945946903"/>
        <n v="5103857.991759834"/>
        <n v="5850342.772999999"/>
        <n v="3167338.3316514944"/>
        <n v="4763725.604330562"/>
        <n v="2404555.738843752"/>
        <n v="3909281.992809244"/>
        <n v="6069523.89252351"/>
        <n v="5544510.410990516"/>
        <n v="5258999.74173414"/>
        <n v="4435220.628168013"/>
        <n v="2640299.3944959166"/>
        <n v="7496987.7930000005"/>
        <n v="3423961.2398672383"/>
        <n v="3543299.503621597"/>
        <n v="6397061.0955430865"/>
        <n v="8013905.586507545"/>
        <n v="4931895.861974174"/>
        <n v="1193980.8232137738"/>
        <n v="5291080.200775084"/>
        <n v="7510604.201719263"/>
        <n v="2623423.5664729015"/>
        <n v="6949848.845155465"/>
        <n v="8609395.388171745"/>
        <n v="5780230.151526237"/>
        <n v="8885034.089807237"/>
        <n v="5718190.733367842"/>
        <n v="6761436.182793348"/>
        <n v="9327506.130754078"/>
        <n v="8308739.2331643095"/>
        <n v="7931179.966972984"/>
        <n v="8953860.30902072"/>
        <n v="2261021.156592429"/>
        <n v="8743468.144331278"/>
        <n v="6509477.86131115"/>
        <n v="1.136697907415105E7"/>
        <n v="8185478.464442322"/>
        <n v="8221976.374915884"/>
        <n v="1629988.3151534062"/>
        <n v="5869446.076323252"/>
        <n v="2257829.2131631197"/>
        <n v="4842717.0463125"/>
        <n v="4792104.932164175"/>
        <n v="7333289.879076162"/>
        <n v="3863362.201734953"/>
        <n v="4051341.038540398"/>
        <n v="8057514.12169664"/>
        <n v="1.580452151667892E7"/>
        <n v="9708489.455452528"/>
        <n v="1.1320846297792323E7"/>
        <n v="9286712.74272033"/>
        <n v="8204574.908206187"/>
        <n v="1.0828714979778212E7"/>
        <n v="1.6770076151039924E7"/>
        <n v="3333777.2813565773"/>
        <n v="1.0425669234152038E7"/>
        <n v="8891939.544838311"/>
        <n v="6397866.16861527"/>
        <n v="4007061.3311725496"/>
        <n v="4024595.287930697"/>
        <n v="2.1991351566525802E7"/>
        <n v="1.6081082376104338E7"/>
        <n v="1.3639150405783033E7"/>
        <n v="1.5279800281698305E7"/>
        <n v="1.0670457576454276E7"/>
        <n v="2.510296624825358E7"/>
        <n v="5995189.796665698"/>
        <n v="1.1306427377744697E7"/>
        <n v="1.7820023101317037E7"/>
        <n v="1.158763939442111E7"/>
        <n v="2.4973602810449876E7"/>
        <n v="2.1962883611001275E7"/>
        <n v="2.5815969112027038E7"/>
        <n v="1.6873830324067827E7"/>
        <n v="2.93435651296703E7"/>
        <n v="2.3450015227073845E7"/>
        <n v="3.078325902427919E7"/>
        <n v="2.272423848802755E7"/>
        <n v="1.0131489364724841E7"/>
        <n v="2.8514938787887707E7"/>
        <n v="3.044219488423206E7"/>
        <n v="1.5458182263897954E7"/>
        <n v="3.233269026292293E7"/>
        <n v="4.163028249276487E7"/>
        <n v="1.14142093549827E7"/>
        <n v="3.778253758730833E7"/>
        <n v="4.143138499760647E7"/>
        <n v="4.174029387649268E7"/>
        <n v="1.5053275078008082E7"/>
        <n v="1.6943754036861148E7"/>
        <n v="3.994677833126123E7"/>
        <n v="2.104257257252396E7"/>
        <n v="4.29514743608221E7"/>
        <n v="5.285522511658528E7"/>
        <n v="5.695839705136109E7"/>
        <n v="3.5898128161187924E7"/>
        <n v="6.4893181615823895E7"/>
        <n v="6.3728813719817445E7"/>
        <n v="6.418625229321826E7"/>
        <n v="4.0874035023225896E7"/>
        <n v="3.634622813600388E7"/>
        <n v="4.3781730019505866E7"/>
        <n v="5.1950198058494836E7"/>
        <n v="2.4941349604617886E7"/>
        <n v="1.1608262240898411E8"/>
        <n v="1.0408869218794143E8"/>
        <n v="1.0909184899461482E8"/>
        <n v="6.2873471860805124E7"/>
        <n v="1.0710601051765528E8"/>
        <n v="1.8508184770269057E8"/>
        <n v="8.209463577057442E7"/>
        <n v="1.5492651326337594E8"/>
        <n v="2.7362004063647074E8"/>
        <n v="4.819803625126094E8"/>
        <n v="9.02949198813731E8"/>
        <m/>
      </sharedItems>
    </cacheField>
    <cacheField name="pop_r" numFmtId="0">
      <sharedItems containsString="0" containsBlank="1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  <m/>
      </sharedItems>
    </cacheField>
    <cacheField name="wat_bas_n">
      <sharedItems containsBlank="1"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  <m/>
      </sharedItems>
    </cacheField>
    <cacheField name="wat_bas_n(rounded)">
      <sharedItems containsBlank="1" containsMixedTypes="1" containsNumber="1" containsInteger="1">
        <n v="100.0"/>
        <n v="98.0"/>
        <n v="96.0"/>
        <n v="99.0"/>
        <n v="92.0"/>
        <n v="89.0"/>
        <n v="78.0"/>
        <n v="97.0"/>
        <n v="79.0"/>
        <n v="94.0"/>
        <n v="68.0"/>
        <n v="95.0"/>
        <n v="77.0"/>
        <n v="71.0"/>
        <n v="86.0"/>
        <n v="60.0"/>
        <n v="73.0"/>
        <n v="93.0"/>
        <n v="81.0"/>
        <n v="85.0"/>
        <n v="91.0"/>
        <s v="NAN"/>
        <n v="72.0"/>
        <n v="38.0"/>
        <n v="76.0"/>
        <n v="74.0"/>
        <n v="82.0"/>
        <n v="64.0"/>
        <n v="69.0"/>
        <n v="46.0"/>
        <n v="41.0"/>
        <n v="67.0"/>
        <n v="63.0"/>
        <n v="66.0"/>
        <n v="61.0"/>
        <n v="57.0"/>
        <n v="47.0"/>
        <n v="83.0"/>
        <n v="48.0"/>
        <n v="54.0"/>
        <n v="58.0"/>
        <n v="56.0"/>
        <n v="62.0"/>
        <n v="84.0"/>
        <n v="50.0"/>
        <m/>
      </sharedItems>
    </cacheField>
    <cacheField name="wat_lim_n">
      <sharedItems containsBlank="1"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  <m/>
      </sharedItems>
    </cacheField>
    <cacheField name="wat_unimp_n">
      <sharedItems containsBlank="1"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  <m/>
      </sharedItems>
    </cacheField>
    <cacheField name="wat_sur_n">
      <sharedItems containsBlank="1"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  <m/>
      </sharedItems>
    </cacheField>
    <cacheField name="wat_bas_r">
      <sharedItems containsBlank="1"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2.7527026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  <m/>
      </sharedItems>
    </cacheField>
    <cacheField name="wat_lim_r">
      <sharedItems containsBlank="1"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5.22113688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  <m/>
      </sharedItems>
    </cacheField>
    <cacheField name="wat_unimp_r">
      <sharedItems containsBlank="1"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3.14294909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  <m/>
      </sharedItems>
    </cacheField>
    <cacheField name="wat_sur_r">
      <sharedItems containsBlank="1"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18.88321135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  <m/>
      </sharedItems>
    </cacheField>
    <cacheField name="wat_bas_u">
      <sharedItems containsBlank="1" containsMixedTypes="1" containsNumber="1">
        <s v="NAN"/>
        <n v="100.0"/>
        <n v="99.63420199"/>
        <n v="99.99927139"/>
        <n v="86.9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78.41163766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  <m/>
      </sharedItems>
    </cacheField>
    <cacheField name="wat_lim_u">
      <sharedItems containsBlank="1"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07927743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5.708056353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  <m/>
      </sharedItems>
    </cacheField>
    <cacheField name="wat_unimp_u">
      <sharedItems containsBlank="1"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5.485735437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9.83580681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  <m/>
      </sharedItems>
    </cacheField>
    <cacheField name="wat_sur_u">
      <sharedItems containsBlank="1"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2.023349475"/>
        <n v="0.8727514049"/>
        <n v="6.362160532"/>
        <n v="2.007293339"/>
        <n v="0.06171"/>
        <n v="0.3882429922"/>
        <n v="0.02419708411"/>
        <n v="0.2260230112"/>
        <n v="1.198136794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  <m/>
      </sharedItems>
    </cacheField>
    <cacheField name="Income group as value" numFmtId="0">
      <sharedItems containsString="0" containsBlank="1" containsNumber="1" containsInteger="1">
        <n v="0.0"/>
        <n v="4.0"/>
        <n v="3.0"/>
        <n v="2.0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G7" firstHeaderRow="0" firstDataRow="2" firstDataCol="0"/>
  <pivotFields>
    <pivotField name="incom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n rounded (million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actual 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actual 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Income group as value" axis="axisRow" compact="0" outline="0" multipleItemSelectionAllowed="1" showAll="0" sortType="ascending">
      <items>
        <item x="5"/>
        <item x="0"/>
        <item x="4"/>
        <item x="3"/>
        <item x="2"/>
        <item x="1"/>
        <item t="default"/>
      </items>
    </pivotField>
  </pivotFields>
  <rowFields>
    <field x="20"/>
  </rowFields>
  <colFields>
    <field x="-2"/>
  </colFields>
  <dataFields>
    <dataField name="SUM of pop_n" fld="1" baseField="0"/>
    <dataField name="AVERAGE of pop_u" fld="4" subtotal="average" baseField="0"/>
    <dataField name="AVERAGE of wat_bas_n" fld="7" subtotal="average" baseField="0"/>
    <dataField name="AVERAGE of wat_lim_n" fld="9" subtotal="average" baseField="0"/>
    <dataField name="AVERAGE of wat_unimp_n" fld="10" subtotal="average" baseField="0"/>
    <dataField name="AVERAGE of wat_sur_n" fld="1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18</v>
      </c>
      <c r="N2" s="1" t="s">
        <v>18</v>
      </c>
      <c r="O2" s="1" t="s">
        <v>18</v>
      </c>
      <c r="P2" s="1" t="s">
        <v>18</v>
      </c>
      <c r="Q2" s="2">
        <f t="shared" ref="Q2:Q214" si="1">counta(A2:P2)</f>
        <v>16</v>
      </c>
    </row>
    <row r="3">
      <c r="A3" s="1" t="s">
        <v>19</v>
      </c>
      <c r="B3" s="1" t="s">
        <v>18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2">
        <f t="shared" si="1"/>
        <v>16</v>
      </c>
    </row>
    <row r="4">
      <c r="A4" s="1" t="s">
        <v>20</v>
      </c>
      <c r="B4" s="1" t="s">
        <v>18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1">
        <v>78.17294282</v>
      </c>
      <c r="J4" s="1">
        <v>0.0</v>
      </c>
      <c r="K4" s="1">
        <v>21.82705718</v>
      </c>
      <c r="L4" s="1">
        <v>0.0</v>
      </c>
      <c r="M4" s="1">
        <v>100.0</v>
      </c>
      <c r="N4" s="1">
        <v>0.0</v>
      </c>
      <c r="O4" s="1">
        <v>0.0</v>
      </c>
      <c r="P4" s="1">
        <v>0.0</v>
      </c>
      <c r="Q4" s="2">
        <f t="shared" si="1"/>
        <v>16</v>
      </c>
    </row>
    <row r="5">
      <c r="A5" s="1" t="s">
        <v>21</v>
      </c>
      <c r="B5" s="1" t="s">
        <v>18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2">
        <f t="shared" si="1"/>
        <v>16</v>
      </c>
    </row>
    <row r="6">
      <c r="A6" s="1" t="s">
        <v>22</v>
      </c>
      <c r="B6" s="1" t="s">
        <v>18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2">
        <f t="shared" si="1"/>
        <v>16</v>
      </c>
    </row>
    <row r="7">
      <c r="A7" s="1" t="s">
        <v>23</v>
      </c>
      <c r="B7" s="1" t="s">
        <v>18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2">
        <f t="shared" si="1"/>
        <v>16</v>
      </c>
    </row>
    <row r="8">
      <c r="A8" s="1" t="s">
        <v>24</v>
      </c>
      <c r="B8" s="1" t="s">
        <v>18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18</v>
      </c>
      <c r="J8" s="1" t="s">
        <v>18</v>
      </c>
      <c r="K8" s="1" t="s">
        <v>18</v>
      </c>
      <c r="L8" s="1" t="s">
        <v>18</v>
      </c>
      <c r="M8" s="1">
        <v>100.0</v>
      </c>
      <c r="N8" s="1">
        <v>0.0</v>
      </c>
      <c r="O8" s="1">
        <v>0.0</v>
      </c>
      <c r="P8" s="1">
        <v>0.0</v>
      </c>
      <c r="Q8" s="2">
        <f t="shared" si="1"/>
        <v>16</v>
      </c>
    </row>
    <row r="9">
      <c r="A9" s="1" t="s">
        <v>25</v>
      </c>
      <c r="B9" s="1" t="s">
        <v>26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1" t="s">
        <v>18</v>
      </c>
      <c r="J9" s="1" t="s">
        <v>18</v>
      </c>
      <c r="K9" s="1" t="s">
        <v>18</v>
      </c>
      <c r="L9" s="1" t="s">
        <v>18</v>
      </c>
      <c r="M9" s="1">
        <v>100.0</v>
      </c>
      <c r="N9" s="1">
        <v>0.0</v>
      </c>
      <c r="O9" s="1">
        <v>0.0</v>
      </c>
      <c r="P9" s="1">
        <v>0.0</v>
      </c>
      <c r="Q9" s="2">
        <f t="shared" si="1"/>
        <v>16</v>
      </c>
    </row>
    <row r="10">
      <c r="A10" s="1" t="s">
        <v>27</v>
      </c>
      <c r="B10" s="1" t="s">
        <v>18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1">
        <v>99.14328736</v>
      </c>
      <c r="J10" s="1">
        <v>0.0</v>
      </c>
      <c r="K10" s="1">
        <v>0.856712639</v>
      </c>
      <c r="L10" s="1">
        <v>0.0</v>
      </c>
      <c r="M10" s="1" t="s">
        <v>18</v>
      </c>
      <c r="N10" s="1" t="s">
        <v>18</v>
      </c>
      <c r="O10" s="1" t="s">
        <v>18</v>
      </c>
      <c r="P10" s="1" t="s">
        <v>18</v>
      </c>
      <c r="Q10" s="2">
        <f t="shared" si="1"/>
        <v>16</v>
      </c>
    </row>
    <row r="11">
      <c r="A11" s="1" t="s">
        <v>28</v>
      </c>
      <c r="B11" s="1" t="s">
        <v>29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>
        <f t="shared" si="1"/>
        <v>16</v>
      </c>
    </row>
    <row r="12">
      <c r="A12" s="1" t="s">
        <v>30</v>
      </c>
      <c r="B12" s="1" t="s">
        <v>18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  <c r="P12" s="1" t="s">
        <v>18</v>
      </c>
      <c r="Q12" s="2">
        <f t="shared" si="1"/>
        <v>16</v>
      </c>
    </row>
    <row r="13">
      <c r="A13" s="1" t="s">
        <v>31</v>
      </c>
      <c r="B13" s="1" t="s">
        <v>29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1">
        <v>99.75698503</v>
      </c>
      <c r="J13" s="1">
        <v>0.0</v>
      </c>
      <c r="K13" s="1">
        <v>0.2430149677</v>
      </c>
      <c r="L13" s="1">
        <v>0.0</v>
      </c>
      <c r="M13" s="1">
        <v>99.63420199</v>
      </c>
      <c r="N13" s="1">
        <v>0.0</v>
      </c>
      <c r="O13" s="1">
        <v>0.3657980078</v>
      </c>
      <c r="P13" s="1">
        <v>0.0</v>
      </c>
      <c r="Q13" s="2">
        <f t="shared" si="1"/>
        <v>16</v>
      </c>
    </row>
    <row r="14">
      <c r="A14" s="1" t="s">
        <v>32</v>
      </c>
      <c r="B14" s="1" t="s">
        <v>26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  <c r="P14" s="1" t="s">
        <v>18</v>
      </c>
      <c r="Q14" s="2">
        <f t="shared" si="1"/>
        <v>16</v>
      </c>
    </row>
    <row r="15">
      <c r="A15" s="1" t="s">
        <v>33</v>
      </c>
      <c r="B15" s="1" t="s">
        <v>26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1" t="s">
        <v>18</v>
      </c>
      <c r="J15" s="1" t="s">
        <v>18</v>
      </c>
      <c r="K15" s="1" t="s">
        <v>18</v>
      </c>
      <c r="L15" s="1" t="s">
        <v>18</v>
      </c>
      <c r="M15" s="1">
        <v>100.0</v>
      </c>
      <c r="N15" s="1">
        <v>0.0</v>
      </c>
      <c r="O15" s="1">
        <v>0.0</v>
      </c>
      <c r="P15" s="1">
        <v>0.0</v>
      </c>
      <c r="Q15" s="2">
        <f t="shared" si="1"/>
        <v>16</v>
      </c>
    </row>
    <row r="16">
      <c r="A16" s="1" t="s">
        <v>34</v>
      </c>
      <c r="B16" s="1" t="s">
        <v>26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  <c r="Q16" s="2">
        <f t="shared" si="1"/>
        <v>16</v>
      </c>
    </row>
    <row r="17">
      <c r="A17" s="1" t="s">
        <v>35</v>
      </c>
      <c r="B17" s="1" t="s">
        <v>26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  <c r="P17" s="1" t="s">
        <v>18</v>
      </c>
      <c r="Q17" s="2">
        <f t="shared" si="1"/>
        <v>16</v>
      </c>
    </row>
    <row r="18">
      <c r="A18" s="1" t="s">
        <v>36</v>
      </c>
      <c r="B18" s="1" t="s">
        <v>26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1" t="s">
        <v>18</v>
      </c>
      <c r="J18" s="1" t="s">
        <v>18</v>
      </c>
      <c r="K18" s="1" t="s">
        <v>18</v>
      </c>
      <c r="L18" s="1" t="s">
        <v>18</v>
      </c>
      <c r="M18" s="1">
        <v>99.99927139</v>
      </c>
      <c r="N18" s="1">
        <v>0.0</v>
      </c>
      <c r="O18" s="1">
        <v>7.286105507E-4</v>
      </c>
      <c r="P18" s="1">
        <v>0.0</v>
      </c>
      <c r="Q18" s="2">
        <f t="shared" si="1"/>
        <v>16</v>
      </c>
    </row>
    <row r="19">
      <c r="A19" s="1" t="s">
        <v>37</v>
      </c>
      <c r="B19" s="1" t="s">
        <v>26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1" t="s">
        <v>18</v>
      </c>
      <c r="J19" s="1" t="s">
        <v>18</v>
      </c>
      <c r="K19" s="1" t="s">
        <v>18</v>
      </c>
      <c r="L19" s="1" t="s">
        <v>18</v>
      </c>
      <c r="M19" s="1">
        <v>100.0</v>
      </c>
      <c r="N19" s="1">
        <v>0.0</v>
      </c>
      <c r="O19" s="1">
        <v>0.0</v>
      </c>
      <c r="P19" s="1">
        <v>0.0</v>
      </c>
      <c r="Q19" s="2">
        <f t="shared" si="1"/>
        <v>16</v>
      </c>
    </row>
    <row r="20">
      <c r="A20" s="1" t="s">
        <v>38</v>
      </c>
      <c r="B20" s="1" t="s">
        <v>26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18</v>
      </c>
      <c r="Q20" s="2">
        <f t="shared" si="1"/>
        <v>16</v>
      </c>
    </row>
    <row r="21">
      <c r="A21" s="1" t="s">
        <v>39</v>
      </c>
      <c r="B21" s="1" t="s">
        <v>29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  <c r="Q21" s="2">
        <f t="shared" si="1"/>
        <v>16</v>
      </c>
    </row>
    <row r="22">
      <c r="A22" s="1" t="s">
        <v>40</v>
      </c>
      <c r="B22" s="1" t="s">
        <v>26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  <c r="Q22" s="2">
        <f t="shared" si="1"/>
        <v>16</v>
      </c>
    </row>
    <row r="23">
      <c r="A23" s="1" t="s">
        <v>41</v>
      </c>
      <c r="B23" s="1" t="s">
        <v>26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  <c r="P23" s="1" t="s">
        <v>18</v>
      </c>
      <c r="Q23" s="2">
        <f t="shared" si="1"/>
        <v>16</v>
      </c>
    </row>
    <row r="24">
      <c r="A24" s="1" t="s">
        <v>42</v>
      </c>
      <c r="B24" s="1" t="s">
        <v>29</v>
      </c>
      <c r="C24" s="1">
        <v>59.19400024</v>
      </c>
      <c r="D24" s="1">
        <v>77.79399109</v>
      </c>
      <c r="E24" s="1">
        <v>88.57204698</v>
      </c>
      <c r="F24" s="1">
        <v>11.387979</v>
      </c>
      <c r="G24" s="1">
        <v>0.03997402585</v>
      </c>
      <c r="H24" s="1">
        <v>0.0</v>
      </c>
      <c r="I24" s="1">
        <v>94.42972</v>
      </c>
      <c r="J24" s="1">
        <v>5.39028</v>
      </c>
      <c r="K24" s="1">
        <v>0.18</v>
      </c>
      <c r="L24" s="1">
        <v>0.0</v>
      </c>
      <c r="M24" s="1">
        <v>86.9</v>
      </c>
      <c r="N24" s="1">
        <v>13.1</v>
      </c>
      <c r="O24" s="1">
        <v>0.0</v>
      </c>
      <c r="P24" s="1">
        <v>0.0</v>
      </c>
      <c r="Q24" s="2">
        <f t="shared" si="1"/>
        <v>16</v>
      </c>
    </row>
    <row r="25">
      <c r="A25" s="1" t="s">
        <v>43</v>
      </c>
      <c r="B25" s="1" t="s">
        <v>26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1" t="s">
        <v>18</v>
      </c>
      <c r="J25" s="1" t="s">
        <v>18</v>
      </c>
      <c r="K25" s="1" t="s">
        <v>18</v>
      </c>
      <c r="L25" s="1" t="s">
        <v>18</v>
      </c>
      <c r="M25" s="1">
        <v>99.90314002</v>
      </c>
      <c r="N25" s="1">
        <v>0.0</v>
      </c>
      <c r="O25" s="1">
        <v>0.09685998294</v>
      </c>
      <c r="P25" s="1">
        <v>0.0</v>
      </c>
      <c r="Q25" s="2">
        <f t="shared" si="1"/>
        <v>16</v>
      </c>
    </row>
    <row r="26">
      <c r="A26" s="1" t="s">
        <v>44</v>
      </c>
      <c r="B26" s="1" t="s">
        <v>26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1"/>
        <v>16</v>
      </c>
    </row>
    <row r="27">
      <c r="A27" s="1" t="s">
        <v>45</v>
      </c>
      <c r="B27" s="1" t="s">
        <v>26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18</v>
      </c>
      <c r="Q27" s="2">
        <f t="shared" si="1"/>
        <v>16</v>
      </c>
    </row>
    <row r="28">
      <c r="A28" s="1" t="s">
        <v>46</v>
      </c>
      <c r="B28" s="1" t="s">
        <v>26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18</v>
      </c>
      <c r="Q28" s="2">
        <f t="shared" si="1"/>
        <v>16</v>
      </c>
    </row>
    <row r="29">
      <c r="A29" s="1" t="s">
        <v>47</v>
      </c>
      <c r="B29" s="1" t="s">
        <v>29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1">
        <v>98.46807854</v>
      </c>
      <c r="J29" s="1">
        <v>1.103159706</v>
      </c>
      <c r="K29" s="1">
        <v>0.4287617551</v>
      </c>
      <c r="L29" s="1">
        <v>0.0</v>
      </c>
      <c r="M29" s="1">
        <v>99.60665819</v>
      </c>
      <c r="N29" s="1">
        <v>0.143540536</v>
      </c>
      <c r="O29" s="1">
        <v>0.2498012758</v>
      </c>
      <c r="P29" s="1">
        <v>0.0</v>
      </c>
      <c r="Q29" s="2">
        <f t="shared" si="1"/>
        <v>16</v>
      </c>
    </row>
    <row r="30">
      <c r="A30" s="1" t="s">
        <v>48</v>
      </c>
      <c r="B30" s="1" t="s">
        <v>49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1">
        <v>60.99418489</v>
      </c>
      <c r="J30" s="1">
        <v>2.096609799</v>
      </c>
      <c r="K30" s="1">
        <v>36.90920532</v>
      </c>
      <c r="L30" s="1">
        <v>0.0</v>
      </c>
      <c r="M30" s="1">
        <v>91.53117485</v>
      </c>
      <c r="N30" s="1">
        <v>5.658666461</v>
      </c>
      <c r="O30" s="1">
        <v>2.810158691</v>
      </c>
      <c r="P30" s="1">
        <v>0.0</v>
      </c>
      <c r="Q30" s="2">
        <f t="shared" si="1"/>
        <v>16</v>
      </c>
    </row>
    <row r="31">
      <c r="A31" s="1" t="s">
        <v>50</v>
      </c>
      <c r="B31" s="1" t="s">
        <v>26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  <c r="P31" s="1" t="s">
        <v>18</v>
      </c>
      <c r="Q31" s="2">
        <f t="shared" si="1"/>
        <v>16</v>
      </c>
    </row>
    <row r="32">
      <c r="A32" s="1" t="s">
        <v>51</v>
      </c>
      <c r="B32" s="1" t="s">
        <v>29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1">
        <v>96.81402383</v>
      </c>
      <c r="J32" s="1">
        <v>1.734152255</v>
      </c>
      <c r="K32" s="1">
        <v>1.451823918</v>
      </c>
      <c r="L32" s="1">
        <v>0.0</v>
      </c>
      <c r="M32" s="1">
        <v>97.20582219</v>
      </c>
      <c r="N32" s="1">
        <v>2.166718886</v>
      </c>
      <c r="O32" s="1">
        <v>0.6274589237</v>
      </c>
      <c r="P32" s="1">
        <v>0.0</v>
      </c>
      <c r="Q32" s="2">
        <f t="shared" si="1"/>
        <v>16</v>
      </c>
    </row>
    <row r="33">
      <c r="A33" s="1" t="s">
        <v>52</v>
      </c>
      <c r="B33" s="1" t="s">
        <v>49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1">
        <v>91.78032287</v>
      </c>
      <c r="J33" s="1">
        <v>6.220703339</v>
      </c>
      <c r="K33" s="1">
        <v>1.72769216</v>
      </c>
      <c r="L33" s="1">
        <v>0.2712816327</v>
      </c>
      <c r="M33" s="1">
        <v>92.10119</v>
      </c>
      <c r="N33" s="1">
        <v>7.89881</v>
      </c>
      <c r="O33" s="1">
        <v>0.0</v>
      </c>
      <c r="P33" s="1">
        <v>0.0</v>
      </c>
      <c r="Q33" s="2">
        <f t="shared" si="1"/>
        <v>16</v>
      </c>
    </row>
    <row r="34">
      <c r="A34" s="1" t="s">
        <v>53</v>
      </c>
      <c r="B34" s="1" t="s">
        <v>49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1">
        <v>74.30061449</v>
      </c>
      <c r="J34" s="1">
        <v>19.71184258</v>
      </c>
      <c r="K34" s="1">
        <v>1.729405704</v>
      </c>
      <c r="L34" s="1">
        <v>4.258137228</v>
      </c>
      <c r="M34" s="1">
        <v>79.5805429</v>
      </c>
      <c r="N34" s="1">
        <v>20.4194571</v>
      </c>
      <c r="O34" s="1">
        <v>0.0</v>
      </c>
      <c r="P34" s="1">
        <v>0.0</v>
      </c>
      <c r="Q34" s="2">
        <f t="shared" si="1"/>
        <v>16</v>
      </c>
    </row>
    <row r="35">
      <c r="A35" s="1" t="s">
        <v>54</v>
      </c>
      <c r="B35" s="1" t="s">
        <v>18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  <c r="P35" s="1" t="s">
        <v>18</v>
      </c>
      <c r="Q35" s="2">
        <f t="shared" si="1"/>
        <v>16</v>
      </c>
    </row>
    <row r="36">
      <c r="A36" s="1" t="s">
        <v>55</v>
      </c>
      <c r="B36" s="1" t="s">
        <v>26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  <c r="P36" s="1" t="s">
        <v>18</v>
      </c>
      <c r="Q36" s="2">
        <f t="shared" si="1"/>
        <v>16</v>
      </c>
    </row>
    <row r="37">
      <c r="A37" s="1" t="s">
        <v>56</v>
      </c>
      <c r="B37" s="1" t="s">
        <v>26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18</v>
      </c>
      <c r="N37" s="1" t="s">
        <v>18</v>
      </c>
      <c r="O37" s="1" t="s">
        <v>18</v>
      </c>
      <c r="P37" s="1" t="s">
        <v>18</v>
      </c>
      <c r="Q37" s="2">
        <f t="shared" si="1"/>
        <v>16</v>
      </c>
    </row>
    <row r="38">
      <c r="A38" s="1" t="s">
        <v>57</v>
      </c>
      <c r="B38" s="1" t="s">
        <v>26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  <c r="P38" s="1" t="s">
        <v>18</v>
      </c>
      <c r="Q38" s="2">
        <f t="shared" si="1"/>
        <v>16</v>
      </c>
    </row>
    <row r="39">
      <c r="A39" s="1" t="s">
        <v>58</v>
      </c>
      <c r="B39" s="1" t="s">
        <v>18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1" t="s">
        <v>18</v>
      </c>
      <c r="Q39" s="2">
        <f t="shared" si="1"/>
        <v>16</v>
      </c>
    </row>
    <row r="40">
      <c r="A40" s="1" t="s">
        <v>59</v>
      </c>
      <c r="B40" s="1" t="s">
        <v>49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1">
        <v>88.39720123</v>
      </c>
      <c r="J40" s="1">
        <v>1.255132675</v>
      </c>
      <c r="K40" s="1">
        <v>0.0</v>
      </c>
      <c r="L40" s="1">
        <v>10.3476661</v>
      </c>
      <c r="M40" s="1">
        <v>99.5</v>
      </c>
      <c r="N40" s="1">
        <v>0.5</v>
      </c>
      <c r="O40" s="1">
        <v>0.0</v>
      </c>
      <c r="P40" s="1">
        <v>0.0</v>
      </c>
      <c r="Q40" s="2">
        <f t="shared" si="1"/>
        <v>16</v>
      </c>
    </row>
    <row r="41">
      <c r="A41" s="1" t="s">
        <v>60</v>
      </c>
      <c r="B41" s="1" t="s">
        <v>26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>
        <f t="shared" si="1"/>
        <v>16</v>
      </c>
    </row>
    <row r="42">
      <c r="A42" s="1" t="s">
        <v>61</v>
      </c>
      <c r="B42" s="1" t="s">
        <v>18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18</v>
      </c>
      <c r="N42" s="1" t="s">
        <v>18</v>
      </c>
      <c r="O42" s="1" t="s">
        <v>18</v>
      </c>
      <c r="P42" s="1" t="s">
        <v>18</v>
      </c>
      <c r="Q42" s="2">
        <f t="shared" si="1"/>
        <v>16</v>
      </c>
    </row>
    <row r="43">
      <c r="A43" s="1" t="s">
        <v>62</v>
      </c>
      <c r="B43" s="1" t="s">
        <v>29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>
        <f t="shared" si="1"/>
        <v>16</v>
      </c>
    </row>
    <row r="44">
      <c r="A44" s="1" t="s">
        <v>63</v>
      </c>
      <c r="B44" s="1" t="s">
        <v>18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18</v>
      </c>
      <c r="N44" s="1" t="s">
        <v>18</v>
      </c>
      <c r="O44" s="1" t="s">
        <v>18</v>
      </c>
      <c r="P44" s="1" t="s">
        <v>18</v>
      </c>
      <c r="Q44" s="2">
        <f t="shared" si="1"/>
        <v>16</v>
      </c>
    </row>
    <row r="45">
      <c r="A45" s="1" t="s">
        <v>64</v>
      </c>
      <c r="B45" s="1" t="s">
        <v>26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1" t="s">
        <v>18</v>
      </c>
      <c r="J45" s="1" t="s">
        <v>18</v>
      </c>
      <c r="K45" s="1" t="s">
        <v>18</v>
      </c>
      <c r="L45" s="1" t="s">
        <v>18</v>
      </c>
      <c r="M45" s="1">
        <v>99.65</v>
      </c>
      <c r="N45" s="1">
        <v>0.0</v>
      </c>
      <c r="O45" s="1">
        <v>0.35</v>
      </c>
      <c r="P45" s="1">
        <v>0.0</v>
      </c>
      <c r="Q45" s="2">
        <f t="shared" si="1"/>
        <v>16</v>
      </c>
    </row>
    <row r="46">
      <c r="A46" s="1" t="s">
        <v>65</v>
      </c>
      <c r="B46" s="1" t="s">
        <v>26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1">
        <v>100.0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  <c r="Q46" s="2">
        <f t="shared" si="1"/>
        <v>16</v>
      </c>
    </row>
    <row r="47">
      <c r="A47" s="1" t="s">
        <v>66</v>
      </c>
      <c r="B47" s="1" t="s">
        <v>29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  <c r="Q47" s="2">
        <f t="shared" si="1"/>
        <v>16</v>
      </c>
    </row>
    <row r="48">
      <c r="A48" s="1" t="s">
        <v>67</v>
      </c>
      <c r="B48" s="1" t="s">
        <v>49</v>
      </c>
      <c r="C48" s="1">
        <v>555.9879761</v>
      </c>
      <c r="D48" s="1">
        <v>66.65200043</v>
      </c>
      <c r="E48" s="1">
        <v>88.76960642</v>
      </c>
      <c r="F48" s="1">
        <v>7.904150846</v>
      </c>
      <c r="G48" s="1">
        <v>3.209147716</v>
      </c>
      <c r="H48" s="1">
        <v>0.1170950144</v>
      </c>
      <c r="I48" s="1">
        <v>80.11452544</v>
      </c>
      <c r="J48" s="1">
        <v>9.911127022</v>
      </c>
      <c r="K48" s="1">
        <v>9.623217003</v>
      </c>
      <c r="L48" s="1">
        <v>0.3511305397</v>
      </c>
      <c r="M48" s="1">
        <v>93.1</v>
      </c>
      <c r="N48" s="1">
        <v>6.9</v>
      </c>
      <c r="O48" s="1">
        <v>0.0</v>
      </c>
      <c r="P48" s="1">
        <v>0.0</v>
      </c>
      <c r="Q48" s="2">
        <f t="shared" si="1"/>
        <v>16</v>
      </c>
    </row>
    <row r="49">
      <c r="A49" s="1" t="s">
        <v>68</v>
      </c>
      <c r="B49" s="1" t="s">
        <v>29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1">
        <v>96.57441263</v>
      </c>
      <c r="J49" s="1">
        <v>1.60029586</v>
      </c>
      <c r="K49" s="1">
        <v>0.1598017947</v>
      </c>
      <c r="L49" s="1">
        <v>1.66548972</v>
      </c>
      <c r="M49" s="1">
        <v>98.71385387</v>
      </c>
      <c r="N49" s="1">
        <v>0.7944652371</v>
      </c>
      <c r="O49" s="1">
        <v>0.4916808925</v>
      </c>
      <c r="P49" s="1">
        <v>0.0</v>
      </c>
      <c r="Q49" s="2">
        <f t="shared" si="1"/>
        <v>16</v>
      </c>
    </row>
    <row r="50">
      <c r="A50" s="1" t="s">
        <v>69</v>
      </c>
      <c r="B50" s="1" t="s">
        <v>26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1">
        <v>98.5952381</v>
      </c>
      <c r="J50" s="1">
        <v>0.0</v>
      </c>
      <c r="K50" s="1">
        <v>1.404761905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  <c r="Q50" s="2">
        <f t="shared" si="1"/>
        <v>16</v>
      </c>
    </row>
    <row r="51">
      <c r="A51" s="1" t="s">
        <v>70</v>
      </c>
      <c r="B51" s="1" t="s">
        <v>29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1">
        <v>98.16188754</v>
      </c>
      <c r="J51" s="1">
        <v>0.0</v>
      </c>
      <c r="K51" s="1">
        <v>1.821833386</v>
      </c>
      <c r="L51" s="1">
        <v>0.01627906977</v>
      </c>
      <c r="M51" s="1">
        <v>99.19173959</v>
      </c>
      <c r="N51" s="1">
        <v>0.8082604128</v>
      </c>
      <c r="O51" s="1">
        <v>0.0</v>
      </c>
      <c r="P51" s="1">
        <v>0.0</v>
      </c>
      <c r="Q51" s="2">
        <f t="shared" si="1"/>
        <v>16</v>
      </c>
    </row>
    <row r="52">
      <c r="A52" s="1" t="s">
        <v>71</v>
      </c>
      <c r="B52" s="1" t="s">
        <v>26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18</v>
      </c>
      <c r="J52" s="1" t="s">
        <v>18</v>
      </c>
      <c r="K52" s="1" t="s">
        <v>18</v>
      </c>
      <c r="L52" s="1" t="s">
        <v>18</v>
      </c>
      <c r="M52" s="1">
        <v>100.0</v>
      </c>
      <c r="N52" s="1">
        <v>0.0</v>
      </c>
      <c r="O52" s="1">
        <v>0.0</v>
      </c>
      <c r="P52" s="1">
        <v>0.0</v>
      </c>
      <c r="Q52" s="2">
        <f t="shared" si="1"/>
        <v>16</v>
      </c>
    </row>
    <row r="53">
      <c r="A53" s="1" t="s">
        <v>72</v>
      </c>
      <c r="B53" s="1" t="s">
        <v>49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1">
        <v>59.40526749</v>
      </c>
      <c r="J53" s="1">
        <v>6.528523649</v>
      </c>
      <c r="K53" s="1">
        <v>26.955911</v>
      </c>
      <c r="L53" s="1">
        <v>7.110297857</v>
      </c>
      <c r="M53" s="1">
        <v>91.41077689</v>
      </c>
      <c r="N53" s="1">
        <v>3.557120425</v>
      </c>
      <c r="O53" s="1">
        <v>3.899286137</v>
      </c>
      <c r="P53" s="1">
        <v>1.132816553</v>
      </c>
      <c r="Q53" s="2">
        <f t="shared" si="1"/>
        <v>16</v>
      </c>
    </row>
    <row r="54">
      <c r="A54" s="1" t="s">
        <v>73</v>
      </c>
      <c r="B54" s="1" t="s">
        <v>49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1">
        <v>96.73119365</v>
      </c>
      <c r="J54" s="1">
        <v>3.268806351</v>
      </c>
      <c r="K54" s="1">
        <v>0.0</v>
      </c>
      <c r="L54" s="1">
        <v>0.0</v>
      </c>
      <c r="M54" s="1">
        <v>98.10662849</v>
      </c>
      <c r="N54" s="1">
        <v>1.3591415</v>
      </c>
      <c r="O54" s="1">
        <v>0.4169208475</v>
      </c>
      <c r="P54" s="1">
        <v>0.1173091586</v>
      </c>
      <c r="Q54" s="2">
        <f t="shared" si="1"/>
        <v>16</v>
      </c>
    </row>
    <row r="55">
      <c r="A55" s="1" t="s">
        <v>74</v>
      </c>
      <c r="B55" s="1" t="s">
        <v>29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1">
        <v>93.9284905</v>
      </c>
      <c r="J55" s="1">
        <v>1.646193862</v>
      </c>
      <c r="K55" s="1">
        <v>1.561274833</v>
      </c>
      <c r="L55" s="1">
        <v>2.864040809</v>
      </c>
      <c r="M55" s="1">
        <v>100.0</v>
      </c>
      <c r="N55" s="1">
        <v>0.0</v>
      </c>
      <c r="O55" s="1">
        <v>0.0</v>
      </c>
      <c r="P55" s="1">
        <v>0.0</v>
      </c>
      <c r="Q55" s="2">
        <f t="shared" si="1"/>
        <v>16</v>
      </c>
    </row>
    <row r="56">
      <c r="A56" s="1" t="s">
        <v>75</v>
      </c>
      <c r="B56" s="1" t="s">
        <v>18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  <c r="P56" s="1" t="s">
        <v>18</v>
      </c>
      <c r="Q56" s="2">
        <f t="shared" si="1"/>
        <v>16</v>
      </c>
    </row>
    <row r="57">
      <c r="A57" s="1" t="s">
        <v>76</v>
      </c>
      <c r="B57" s="1" t="s">
        <v>29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1">
        <v>89.08802405</v>
      </c>
      <c r="J57" s="1">
        <v>0.0</v>
      </c>
      <c r="K57" s="1">
        <v>5.759897938</v>
      </c>
      <c r="L57" s="1">
        <v>5.152078012</v>
      </c>
      <c r="M57" s="1">
        <v>98.19424406</v>
      </c>
      <c r="N57" s="1">
        <v>0.0</v>
      </c>
      <c r="O57" s="1">
        <v>1.495409344</v>
      </c>
      <c r="P57" s="1">
        <v>0.3103465922</v>
      </c>
      <c r="Q57" s="2">
        <f t="shared" si="1"/>
        <v>16</v>
      </c>
    </row>
    <row r="58">
      <c r="A58" s="1" t="s">
        <v>77</v>
      </c>
      <c r="B58" s="1" t="s">
        <v>49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1">
        <v>47.28073293</v>
      </c>
      <c r="J58" s="1">
        <v>12.06161014</v>
      </c>
      <c r="K58" s="1">
        <v>30.73550468</v>
      </c>
      <c r="L58" s="1">
        <v>9.922152249</v>
      </c>
      <c r="M58" s="1">
        <v>84.13501493</v>
      </c>
      <c r="N58" s="1">
        <v>15.51511107</v>
      </c>
      <c r="O58" s="1">
        <v>0.3498740029</v>
      </c>
      <c r="P58" s="1">
        <v>0.0</v>
      </c>
      <c r="Q58" s="2">
        <f t="shared" si="1"/>
        <v>16</v>
      </c>
    </row>
    <row r="59">
      <c r="A59" s="1" t="s">
        <v>78</v>
      </c>
      <c r="B59" s="1" t="s">
        <v>49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1">
        <v>62.46644874</v>
      </c>
      <c r="J59" s="1">
        <v>12.29969513</v>
      </c>
      <c r="K59" s="1">
        <v>12.45046093</v>
      </c>
      <c r="L59" s="1">
        <v>12.78339519</v>
      </c>
      <c r="M59" s="1">
        <v>96.74976305</v>
      </c>
      <c r="N59" s="1">
        <v>0.7460644731</v>
      </c>
      <c r="O59" s="1">
        <v>1.632164244</v>
      </c>
      <c r="P59" s="1">
        <v>0.8720082294</v>
      </c>
      <c r="Q59" s="2">
        <f t="shared" si="1"/>
        <v>16</v>
      </c>
    </row>
    <row r="60">
      <c r="A60" s="1" t="s">
        <v>79</v>
      </c>
      <c r="B60" s="1" t="s">
        <v>26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1">
        <v>99.84576172</v>
      </c>
      <c r="J60" s="1">
        <v>0.0</v>
      </c>
      <c r="K60" s="1">
        <v>0.1542382836</v>
      </c>
      <c r="L60" s="1">
        <v>0.0</v>
      </c>
      <c r="M60" s="1">
        <v>99.72515812</v>
      </c>
      <c r="N60" s="1">
        <v>0.0</v>
      </c>
      <c r="O60" s="1">
        <v>0.2748418825</v>
      </c>
      <c r="P60" s="1">
        <v>0.0</v>
      </c>
      <c r="Q60" s="2">
        <f t="shared" si="1"/>
        <v>16</v>
      </c>
    </row>
    <row r="61">
      <c r="A61" s="1" t="s">
        <v>80</v>
      </c>
      <c r="B61" s="1" t="s">
        <v>29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1">
        <v>99.82768234</v>
      </c>
      <c r="J61" s="1">
        <v>0.0</v>
      </c>
      <c r="K61" s="1">
        <v>0.1723176618</v>
      </c>
      <c r="L61" s="1">
        <v>0.0</v>
      </c>
      <c r="M61" s="1">
        <v>99.92231522</v>
      </c>
      <c r="N61" s="1">
        <v>0.0</v>
      </c>
      <c r="O61" s="1">
        <v>0.07768478119</v>
      </c>
      <c r="P61" s="1">
        <v>0.0</v>
      </c>
      <c r="Q61" s="2">
        <f t="shared" si="1"/>
        <v>16</v>
      </c>
    </row>
    <row r="62">
      <c r="A62" s="1" t="s">
        <v>81</v>
      </c>
      <c r="B62" s="1" t="s">
        <v>49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1">
        <v>80.48779562</v>
      </c>
      <c r="J62" s="1">
        <v>2.049364675</v>
      </c>
      <c r="K62" s="1">
        <v>11.26233968</v>
      </c>
      <c r="L62" s="1">
        <v>6.200500018</v>
      </c>
      <c r="M62" s="1">
        <v>96.47695792</v>
      </c>
      <c r="N62" s="1">
        <v>1.527338152</v>
      </c>
      <c r="O62" s="1">
        <v>1.995703929</v>
      </c>
      <c r="P62" s="1">
        <v>0.0</v>
      </c>
      <c r="Q62" s="2">
        <f t="shared" si="1"/>
        <v>16</v>
      </c>
    </row>
    <row r="63">
      <c r="A63" s="1" t="s">
        <v>82</v>
      </c>
      <c r="B63" s="1" t="s">
        <v>26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1" t="s">
        <v>18</v>
      </c>
      <c r="J63" s="1" t="s">
        <v>18</v>
      </c>
      <c r="K63" s="1" t="s">
        <v>18</v>
      </c>
      <c r="L63" s="1" t="s">
        <v>18</v>
      </c>
      <c r="M63" s="1">
        <v>99.98545421</v>
      </c>
      <c r="N63" s="1">
        <v>0.0</v>
      </c>
      <c r="O63" s="1">
        <v>0.01454579307</v>
      </c>
      <c r="P63" s="1">
        <v>0.0</v>
      </c>
      <c r="Q63" s="2">
        <f t="shared" si="1"/>
        <v>16</v>
      </c>
    </row>
    <row r="64">
      <c r="A64" s="1" t="s">
        <v>83</v>
      </c>
      <c r="B64" s="1" t="s">
        <v>26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1" t="s">
        <v>18</v>
      </c>
      <c r="J64" s="1" t="s">
        <v>18</v>
      </c>
      <c r="K64" s="1" t="s">
        <v>18</v>
      </c>
      <c r="L64" s="1" t="s">
        <v>18</v>
      </c>
      <c r="M64" s="1" t="s">
        <v>18</v>
      </c>
      <c r="N64" s="1" t="s">
        <v>18</v>
      </c>
      <c r="O64" s="1" t="s">
        <v>18</v>
      </c>
      <c r="P64" s="1" t="s">
        <v>18</v>
      </c>
      <c r="Q64" s="2">
        <f t="shared" si="1"/>
        <v>16</v>
      </c>
    </row>
    <row r="65">
      <c r="A65" s="1" t="s">
        <v>84</v>
      </c>
      <c r="B65" s="1" t="s">
        <v>26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1" t="s">
        <v>18</v>
      </c>
      <c r="J65" s="1" t="s">
        <v>18</v>
      </c>
      <c r="K65" s="1" t="s">
        <v>18</v>
      </c>
      <c r="L65" s="1" t="s">
        <v>18</v>
      </c>
      <c r="M65" s="1" t="s">
        <v>18</v>
      </c>
      <c r="N65" s="1" t="s">
        <v>18</v>
      </c>
      <c r="O65" s="1" t="s">
        <v>18</v>
      </c>
      <c r="P65" s="1" t="s">
        <v>18</v>
      </c>
      <c r="Q65" s="2">
        <f t="shared" si="1"/>
        <v>16</v>
      </c>
    </row>
    <row r="66">
      <c r="A66" s="1" t="s">
        <v>85</v>
      </c>
      <c r="B66" s="1" t="s">
        <v>26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1">
        <v>98.57922314</v>
      </c>
      <c r="J66" s="1">
        <v>0.0</v>
      </c>
      <c r="K66" s="1">
        <v>1.42077686</v>
      </c>
      <c r="L66" s="1">
        <v>0.0</v>
      </c>
      <c r="M66" s="1">
        <v>98.87692469</v>
      </c>
      <c r="N66" s="1">
        <v>0.9987568151</v>
      </c>
      <c r="O66" s="1">
        <v>0.1243184908</v>
      </c>
      <c r="P66" s="1">
        <v>0.0</v>
      </c>
      <c r="Q66" s="2">
        <f t="shared" si="1"/>
        <v>16</v>
      </c>
    </row>
    <row r="67">
      <c r="A67" s="1" t="s">
        <v>86</v>
      </c>
      <c r="B67" s="1" t="s">
        <v>87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1">
        <v>49.8319053</v>
      </c>
      <c r="J67" s="1">
        <v>9.285773026</v>
      </c>
      <c r="K67" s="1">
        <v>40.31645129</v>
      </c>
      <c r="L67" s="1">
        <v>0.5658703845</v>
      </c>
      <c r="M67" s="1">
        <v>70.61434791</v>
      </c>
      <c r="N67" s="1">
        <v>20.03063358</v>
      </c>
      <c r="O67" s="1">
        <v>9.340625284</v>
      </c>
      <c r="P67" s="1">
        <v>0.01439322693</v>
      </c>
      <c r="Q67" s="2">
        <f t="shared" si="1"/>
        <v>16</v>
      </c>
    </row>
    <row r="68">
      <c r="A68" s="1" t="s">
        <v>88</v>
      </c>
      <c r="B68" s="1" t="s">
        <v>26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18</v>
      </c>
      <c r="N68" s="1" t="s">
        <v>18</v>
      </c>
      <c r="O68" s="1" t="s">
        <v>18</v>
      </c>
      <c r="P68" s="1" t="s">
        <v>18</v>
      </c>
      <c r="Q68" s="2">
        <f t="shared" si="1"/>
        <v>16</v>
      </c>
    </row>
    <row r="69">
      <c r="A69" s="1" t="s">
        <v>89</v>
      </c>
      <c r="B69" s="1" t="s">
        <v>29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1">
        <v>97.46871457</v>
      </c>
      <c r="J69" s="1">
        <v>1.505202232</v>
      </c>
      <c r="K69" s="1">
        <v>0.9105631982</v>
      </c>
      <c r="L69" s="1">
        <v>0.11552</v>
      </c>
      <c r="M69" s="1">
        <v>97.93740299</v>
      </c>
      <c r="N69" s="1">
        <v>1.727136954</v>
      </c>
      <c r="O69" s="1">
        <v>0.3354600563</v>
      </c>
      <c r="P69" s="1">
        <v>0.0</v>
      </c>
      <c r="Q69" s="2">
        <f t="shared" si="1"/>
        <v>16</v>
      </c>
    </row>
    <row r="70">
      <c r="A70" s="1" t="s">
        <v>90</v>
      </c>
      <c r="B70" s="1" t="s">
        <v>49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1">
        <v>63.65035482</v>
      </c>
      <c r="J70" s="1">
        <v>13.55843013</v>
      </c>
      <c r="K70" s="1">
        <v>15.73132479</v>
      </c>
      <c r="L70" s="1">
        <v>7.059890254</v>
      </c>
      <c r="M70" s="1">
        <v>93.02090855</v>
      </c>
      <c r="N70" s="1">
        <v>2.698211997</v>
      </c>
      <c r="O70" s="1">
        <v>3.625530038</v>
      </c>
      <c r="P70" s="1">
        <v>0.65534942</v>
      </c>
      <c r="Q70" s="2">
        <f t="shared" si="1"/>
        <v>16</v>
      </c>
    </row>
    <row r="71">
      <c r="A71" s="1" t="s">
        <v>91</v>
      </c>
      <c r="B71" s="1" t="s">
        <v>29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18</v>
      </c>
      <c r="I71" s="1">
        <v>44.74588901</v>
      </c>
      <c r="J71" s="1">
        <v>10.51114859</v>
      </c>
      <c r="K71" s="1">
        <v>44.7429624</v>
      </c>
      <c r="L71" s="1" t="s">
        <v>18</v>
      </c>
      <c r="M71" s="1">
        <v>89.80653917</v>
      </c>
      <c r="N71" s="1">
        <v>7.42998076</v>
      </c>
      <c r="O71" s="1">
        <v>2.763480072</v>
      </c>
      <c r="P71" s="1" t="s">
        <v>18</v>
      </c>
      <c r="Q71" s="2">
        <f t="shared" si="1"/>
        <v>16</v>
      </c>
    </row>
    <row r="72">
      <c r="A72" s="1" t="s">
        <v>92</v>
      </c>
      <c r="B72" s="1" t="s">
        <v>29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1">
        <v>79.04372386</v>
      </c>
      <c r="J72" s="1">
        <v>15.15494718</v>
      </c>
      <c r="K72" s="1">
        <v>1.596119156</v>
      </c>
      <c r="L72" s="1">
        <v>4.20520981</v>
      </c>
      <c r="M72" s="1">
        <v>97.62498058</v>
      </c>
      <c r="N72" s="1">
        <v>0.4366200322</v>
      </c>
      <c r="O72" s="1">
        <v>1.788579159</v>
      </c>
      <c r="P72" s="1">
        <v>0.1498202281</v>
      </c>
      <c r="Q72" s="2">
        <f t="shared" si="1"/>
        <v>16</v>
      </c>
    </row>
    <row r="73">
      <c r="A73" s="1" t="s">
        <v>93</v>
      </c>
      <c r="B73" s="1" t="s">
        <v>87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1">
        <v>69.18852321</v>
      </c>
      <c r="J73" s="1">
        <v>16.49783239</v>
      </c>
      <c r="K73" s="1">
        <v>14.24376547</v>
      </c>
      <c r="L73" s="1">
        <v>0.0698789368</v>
      </c>
      <c r="M73" s="1">
        <v>87.96690427</v>
      </c>
      <c r="N73" s="1">
        <v>3.873689522</v>
      </c>
      <c r="O73" s="1">
        <v>8.026457278</v>
      </c>
      <c r="P73" s="1">
        <v>0.1329489253</v>
      </c>
      <c r="Q73" s="2">
        <f t="shared" si="1"/>
        <v>16</v>
      </c>
    </row>
    <row r="74">
      <c r="A74" s="1" t="s">
        <v>94</v>
      </c>
      <c r="B74" s="1" t="s">
        <v>29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1">
        <v>71.25616743</v>
      </c>
      <c r="J74" s="1">
        <v>11.97218925</v>
      </c>
      <c r="K74" s="1">
        <v>7.081803759</v>
      </c>
      <c r="L74" s="1">
        <v>9.689839563</v>
      </c>
      <c r="M74" s="1">
        <v>96.26696535</v>
      </c>
      <c r="N74" s="1">
        <v>2.584758965</v>
      </c>
      <c r="O74" s="1">
        <v>0.6596102638</v>
      </c>
      <c r="P74" s="1">
        <v>0.4886654211</v>
      </c>
      <c r="Q74" s="2">
        <f t="shared" si="1"/>
        <v>16</v>
      </c>
    </row>
    <row r="75">
      <c r="A75" s="1" t="s">
        <v>95</v>
      </c>
      <c r="B75" s="1" t="s">
        <v>26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1">
        <v>93.78278023</v>
      </c>
      <c r="J75" s="1">
        <v>0.0</v>
      </c>
      <c r="K75" s="1">
        <v>6.217219771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  <c r="Q75" s="2">
        <f t="shared" si="1"/>
        <v>16</v>
      </c>
    </row>
    <row r="76">
      <c r="A76" s="1" t="s">
        <v>96</v>
      </c>
      <c r="B76" s="1" t="s">
        <v>26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  <c r="P76" s="1" t="s">
        <v>18</v>
      </c>
      <c r="Q76" s="2">
        <f t="shared" si="1"/>
        <v>16</v>
      </c>
    </row>
    <row r="77">
      <c r="A77" s="1" t="s">
        <v>97</v>
      </c>
      <c r="B77" s="1" t="s">
        <v>29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1">
        <v>94.09135806</v>
      </c>
      <c r="J77" s="1">
        <v>2.305264955</v>
      </c>
      <c r="K77" s="1">
        <v>3.603376986</v>
      </c>
      <c r="L77" s="1">
        <v>0.0</v>
      </c>
      <c r="M77" s="1">
        <v>95.66380912</v>
      </c>
      <c r="N77" s="1">
        <v>1.62808683</v>
      </c>
      <c r="O77" s="1">
        <v>2.708104054</v>
      </c>
      <c r="P77" s="1">
        <v>0.0</v>
      </c>
      <c r="Q77" s="2">
        <f t="shared" si="1"/>
        <v>16</v>
      </c>
    </row>
    <row r="78">
      <c r="A78" s="1" t="s">
        <v>98</v>
      </c>
      <c r="B78" s="1" t="s">
        <v>26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18</v>
      </c>
      <c r="Q78" s="2">
        <f t="shared" si="1"/>
        <v>16</v>
      </c>
    </row>
    <row r="79">
      <c r="A79" s="1" t="s">
        <v>99</v>
      </c>
      <c r="B79" s="1" t="s">
        <v>29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1">
        <v>85.39991216</v>
      </c>
      <c r="J79" s="1">
        <v>8.490737371</v>
      </c>
      <c r="K79" s="1">
        <v>2.568971895</v>
      </c>
      <c r="L79" s="1">
        <v>3.540378574</v>
      </c>
      <c r="M79" s="1">
        <v>95.39801591</v>
      </c>
      <c r="N79" s="1">
        <v>2.944456223</v>
      </c>
      <c r="O79" s="1">
        <v>1.317064322</v>
      </c>
      <c r="P79" s="1">
        <v>0.34046355</v>
      </c>
      <c r="Q79" s="2">
        <f t="shared" si="1"/>
        <v>16</v>
      </c>
    </row>
    <row r="80">
      <c r="A80" s="1" t="s">
        <v>100</v>
      </c>
      <c r="B80" s="1" t="s">
        <v>29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99.95448122</v>
      </c>
      <c r="N80" s="1">
        <v>0.0</v>
      </c>
      <c r="O80" s="1">
        <v>0.04551878364</v>
      </c>
      <c r="P80" s="1">
        <v>0.0</v>
      </c>
      <c r="Q80" s="2">
        <f t="shared" si="1"/>
        <v>16</v>
      </c>
    </row>
    <row r="81">
      <c r="A81" s="1" t="s">
        <v>101</v>
      </c>
      <c r="B81" s="1" t="s">
        <v>49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1">
        <v>61.07075114</v>
      </c>
      <c r="J81" s="1">
        <v>3.084170572</v>
      </c>
      <c r="K81" s="1">
        <v>17.58078116</v>
      </c>
      <c r="L81" s="1">
        <v>18.26429713</v>
      </c>
      <c r="M81" s="1">
        <v>96.64596558</v>
      </c>
      <c r="N81" s="1">
        <v>1.718335079</v>
      </c>
      <c r="O81" s="1">
        <v>1.635699341</v>
      </c>
      <c r="P81" s="1">
        <v>0.0</v>
      </c>
      <c r="Q81" s="2">
        <f t="shared" si="1"/>
        <v>16</v>
      </c>
    </row>
    <row r="82">
      <c r="A82" s="1" t="s">
        <v>102</v>
      </c>
      <c r="B82" s="1" t="s">
        <v>29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1">
        <v>97.33333333</v>
      </c>
      <c r="J82" s="1">
        <v>2.666666667</v>
      </c>
      <c r="K82" s="1">
        <v>0.0</v>
      </c>
      <c r="L82" s="1">
        <v>0.0</v>
      </c>
      <c r="M82" s="1">
        <v>94.8457044</v>
      </c>
      <c r="N82" s="1">
        <v>5.026922206</v>
      </c>
      <c r="O82" s="1">
        <v>0.1273733928</v>
      </c>
      <c r="P82" s="1">
        <v>0.0</v>
      </c>
      <c r="Q82" s="2">
        <f t="shared" si="1"/>
        <v>16</v>
      </c>
    </row>
    <row r="83">
      <c r="A83" s="1" t="s">
        <v>103</v>
      </c>
      <c r="B83" s="1" t="s">
        <v>26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1">
        <v>95.30083</v>
      </c>
      <c r="J83" s="1">
        <v>4.69917</v>
      </c>
      <c r="K83" s="1">
        <v>0.0</v>
      </c>
      <c r="L83" s="1">
        <v>0.0</v>
      </c>
      <c r="M83" s="1">
        <v>99.69273444</v>
      </c>
      <c r="N83" s="1">
        <v>0.3072655617</v>
      </c>
      <c r="O83" s="1">
        <v>0.0</v>
      </c>
      <c r="P83" s="1">
        <v>0.0</v>
      </c>
      <c r="Q83" s="2">
        <f t="shared" si="1"/>
        <v>16</v>
      </c>
    </row>
    <row r="84">
      <c r="A84" s="1" t="s">
        <v>104</v>
      </c>
      <c r="B84" s="1" t="s">
        <v>29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1">
        <v>94.2718842</v>
      </c>
      <c r="J84" s="1">
        <v>0.0</v>
      </c>
      <c r="K84" s="1">
        <v>5.703923618</v>
      </c>
      <c r="L84" s="1">
        <v>0.02419218345</v>
      </c>
      <c r="M84" s="1">
        <v>99.44615394</v>
      </c>
      <c r="N84" s="1">
        <v>0.0</v>
      </c>
      <c r="O84" s="1">
        <v>0.538220742</v>
      </c>
      <c r="P84" s="1">
        <v>0.01562531586</v>
      </c>
      <c r="Q84" s="2">
        <f t="shared" si="1"/>
        <v>16</v>
      </c>
    </row>
    <row r="85">
      <c r="A85" s="1" t="s">
        <v>105</v>
      </c>
      <c r="B85" s="1" t="s">
        <v>29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1">
        <v>85.48103812</v>
      </c>
      <c r="J85" s="1">
        <v>1.52256302</v>
      </c>
      <c r="K85" s="1">
        <v>12.99639886</v>
      </c>
      <c r="L85" s="1">
        <v>0.0</v>
      </c>
      <c r="M85" s="1">
        <v>97.35744448</v>
      </c>
      <c r="N85" s="1">
        <v>1.516060408</v>
      </c>
      <c r="O85" s="1">
        <v>1.126495111</v>
      </c>
      <c r="P85" s="1">
        <v>0.0</v>
      </c>
      <c r="Q85" s="2">
        <f t="shared" si="1"/>
        <v>16</v>
      </c>
    </row>
    <row r="86">
      <c r="A86" s="1" t="s">
        <v>106</v>
      </c>
      <c r="B86" s="1" t="s">
        <v>26</v>
      </c>
      <c r="C86" s="1">
        <v>4105.268066</v>
      </c>
      <c r="D86" s="1">
        <v>57.55299759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>
        <v>100.0</v>
      </c>
      <c r="N86" s="1">
        <v>0.0</v>
      </c>
      <c r="O86" s="1">
        <v>0.0</v>
      </c>
      <c r="P86" s="1">
        <v>0.0</v>
      </c>
      <c r="Q86" s="2">
        <f t="shared" si="1"/>
        <v>16</v>
      </c>
    </row>
    <row r="87">
      <c r="A87" s="1" t="s">
        <v>107</v>
      </c>
      <c r="B87" s="1" t="s">
        <v>26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18</v>
      </c>
      <c r="Q87" s="2">
        <f t="shared" si="1"/>
        <v>16</v>
      </c>
    </row>
    <row r="88">
      <c r="A88" s="1" t="s">
        <v>108</v>
      </c>
      <c r="B88" s="1" t="s">
        <v>26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1">
        <v>86.32308326</v>
      </c>
      <c r="J88" s="1">
        <v>1.791982583</v>
      </c>
      <c r="K88" s="1">
        <v>7.162364342</v>
      </c>
      <c r="L88" s="1">
        <v>4.722569811</v>
      </c>
      <c r="M88" s="1">
        <v>98.08889267</v>
      </c>
      <c r="N88" s="1">
        <v>1.911107333</v>
      </c>
      <c r="O88" s="1">
        <v>0.0</v>
      </c>
      <c r="P88" s="1">
        <v>0.0</v>
      </c>
      <c r="Q88" s="2">
        <f t="shared" si="1"/>
        <v>16</v>
      </c>
    </row>
    <row r="89">
      <c r="A89" s="1" t="s">
        <v>109</v>
      </c>
      <c r="B89" s="1" t="s">
        <v>49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1">
        <v>49.9113389</v>
      </c>
      <c r="J89" s="1">
        <v>18.49039689</v>
      </c>
      <c r="K89" s="1">
        <v>31.5496173</v>
      </c>
      <c r="L89" s="1">
        <v>0.04864690722</v>
      </c>
      <c r="M89" s="1">
        <v>89.25869465</v>
      </c>
      <c r="N89" s="1">
        <v>9.428808083</v>
      </c>
      <c r="O89" s="1">
        <v>1.31249727</v>
      </c>
      <c r="P89" s="1">
        <v>0.0</v>
      </c>
      <c r="Q89" s="2">
        <f t="shared" si="1"/>
        <v>16</v>
      </c>
    </row>
    <row r="90">
      <c r="A90" s="1" t="s">
        <v>110</v>
      </c>
      <c r="B90" s="1" t="s">
        <v>26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1"/>
        <v>16</v>
      </c>
    </row>
    <row r="91">
      <c r="A91" s="1" t="s">
        <v>111</v>
      </c>
      <c r="B91" s="1" t="s">
        <v>87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1">
        <v>28.10659415</v>
      </c>
      <c r="J91" s="1">
        <v>19.4058899</v>
      </c>
      <c r="K91" s="1">
        <v>46.37307301</v>
      </c>
      <c r="L91" s="1">
        <v>6.114442944</v>
      </c>
      <c r="M91" s="1">
        <v>49.66166495</v>
      </c>
      <c r="N91" s="1">
        <v>34.27978009</v>
      </c>
      <c r="O91" s="1">
        <v>15.95940214</v>
      </c>
      <c r="P91" s="1">
        <v>0.09915281712</v>
      </c>
      <c r="Q91" s="2">
        <f t="shared" si="1"/>
        <v>16</v>
      </c>
    </row>
    <row r="92">
      <c r="A92" s="1" t="s">
        <v>112</v>
      </c>
      <c r="B92" s="1" t="s">
        <v>26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1">
        <v>98.13492075</v>
      </c>
      <c r="J92" s="1">
        <v>0.0</v>
      </c>
      <c r="K92" s="1">
        <v>1.865079247</v>
      </c>
      <c r="L92" s="1">
        <v>0.0</v>
      </c>
      <c r="M92" s="1">
        <v>96.97988603</v>
      </c>
      <c r="N92" s="1">
        <v>0.0</v>
      </c>
      <c r="O92" s="1">
        <v>3.020113966</v>
      </c>
      <c r="P92" s="1">
        <v>0.0</v>
      </c>
      <c r="Q92" s="2">
        <f t="shared" si="1"/>
        <v>16</v>
      </c>
    </row>
    <row r="93">
      <c r="A93" s="1" t="s">
        <v>113</v>
      </c>
      <c r="B93" s="1" t="s">
        <v>87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1">
        <v>64.10021689</v>
      </c>
      <c r="J93" s="1">
        <v>6.537775797</v>
      </c>
      <c r="K93" s="1">
        <v>3.383709875</v>
      </c>
      <c r="L93" s="1">
        <v>25.97829744</v>
      </c>
      <c r="M93" s="1">
        <v>85.52810963</v>
      </c>
      <c r="N93" s="1">
        <v>10.69005698</v>
      </c>
      <c r="O93" s="1">
        <v>3.58408039</v>
      </c>
      <c r="P93" s="1">
        <v>0.1977530006</v>
      </c>
      <c r="Q93" s="2">
        <f t="shared" si="1"/>
        <v>16</v>
      </c>
    </row>
    <row r="94">
      <c r="A94" s="1" t="s">
        <v>114</v>
      </c>
      <c r="B94" s="1" t="s">
        <v>29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1">
        <v>99.64625</v>
      </c>
      <c r="J94" s="1">
        <v>0.35375</v>
      </c>
      <c r="K94" s="1">
        <v>0.0</v>
      </c>
      <c r="L94" s="1">
        <v>0.0</v>
      </c>
      <c r="M94" s="1">
        <v>99.84965286</v>
      </c>
      <c r="N94" s="1">
        <v>0.1503471429</v>
      </c>
      <c r="O94" s="1">
        <v>0.0</v>
      </c>
      <c r="P94" s="1">
        <v>0.0</v>
      </c>
      <c r="Q94" s="2">
        <f t="shared" si="1"/>
        <v>16</v>
      </c>
    </row>
    <row r="95">
      <c r="A95" s="1" t="s">
        <v>115</v>
      </c>
      <c r="B95" s="1" t="s">
        <v>49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18</v>
      </c>
      <c r="I95" s="1">
        <v>98.71555642</v>
      </c>
      <c r="J95" s="1">
        <v>0.3174006273</v>
      </c>
      <c r="K95" s="1">
        <v>0.9670429576</v>
      </c>
      <c r="L95" s="1" t="s">
        <v>18</v>
      </c>
      <c r="M95" s="1">
        <v>97.62696443</v>
      </c>
      <c r="N95" s="1">
        <v>1.246217358</v>
      </c>
      <c r="O95" s="1">
        <v>1.126818208</v>
      </c>
      <c r="P95" s="1" t="s">
        <v>18</v>
      </c>
      <c r="Q95" s="2">
        <f t="shared" si="1"/>
        <v>16</v>
      </c>
    </row>
    <row r="96">
      <c r="A96" s="1" t="s">
        <v>116</v>
      </c>
      <c r="B96" s="1" t="s">
        <v>26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1">
        <v>76.25077991</v>
      </c>
      <c r="J96" s="1">
        <v>21.63212113</v>
      </c>
      <c r="K96" s="1">
        <v>1.897409218</v>
      </c>
      <c r="L96" s="1">
        <v>0.2196897375</v>
      </c>
      <c r="M96" s="1">
        <v>94.7</v>
      </c>
      <c r="N96" s="1">
        <v>5.3</v>
      </c>
      <c r="O96" s="1">
        <v>0.0</v>
      </c>
      <c r="P96" s="1">
        <v>0.0</v>
      </c>
      <c r="Q96" s="2">
        <f t="shared" si="1"/>
        <v>16</v>
      </c>
    </row>
    <row r="97">
      <c r="A97" s="1" t="s">
        <v>117</v>
      </c>
      <c r="B97" s="1" t="s">
        <v>26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1">
        <v>100.0</v>
      </c>
      <c r="J97" s="1">
        <v>0.0</v>
      </c>
      <c r="K97" s="1">
        <v>0.0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  <c r="Q97" s="2">
        <f t="shared" si="1"/>
        <v>16</v>
      </c>
    </row>
    <row r="98">
      <c r="A98" s="1" t="s">
        <v>118</v>
      </c>
      <c r="B98" s="1" t="s">
        <v>26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1">
        <v>100.0</v>
      </c>
      <c r="J98" s="1">
        <v>0.0</v>
      </c>
      <c r="K98" s="1">
        <v>0.0</v>
      </c>
      <c r="L98" s="1">
        <v>0.0</v>
      </c>
      <c r="M98" s="1">
        <v>99.60509406</v>
      </c>
      <c r="N98" s="1">
        <v>0.3949059374</v>
      </c>
      <c r="O98" s="1">
        <v>0.0</v>
      </c>
      <c r="P98" s="1">
        <v>0.0</v>
      </c>
      <c r="Q98" s="2">
        <f t="shared" si="1"/>
        <v>16</v>
      </c>
    </row>
    <row r="99">
      <c r="A99" s="1" t="s">
        <v>119</v>
      </c>
      <c r="B99" s="1" t="s">
        <v>49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  <c r="Q99" s="2">
        <f t="shared" si="1"/>
        <v>16</v>
      </c>
    </row>
    <row r="100">
      <c r="A100" s="1" t="s">
        <v>120</v>
      </c>
      <c r="B100" s="1" t="s">
        <v>26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  <c r="Q100" s="2">
        <f t="shared" si="1"/>
        <v>16</v>
      </c>
    </row>
    <row r="101">
      <c r="A101" s="1" t="s">
        <v>121</v>
      </c>
      <c r="B101" s="1" t="s">
        <v>26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1">
        <v>100.0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  <c r="Q101" s="2">
        <f t="shared" si="1"/>
        <v>16</v>
      </c>
    </row>
    <row r="102">
      <c r="A102" s="1" t="s">
        <v>122</v>
      </c>
      <c r="B102" s="1" t="s">
        <v>26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1" t="s">
        <v>18</v>
      </c>
      <c r="J102" s="1" t="s">
        <v>18</v>
      </c>
      <c r="K102" s="1" t="s">
        <v>18</v>
      </c>
      <c r="L102" s="1" t="s">
        <v>18</v>
      </c>
      <c r="M102" s="1">
        <v>100.0</v>
      </c>
      <c r="N102" s="1">
        <v>0.0</v>
      </c>
      <c r="O102" s="1">
        <v>0.0</v>
      </c>
      <c r="P102" s="1">
        <v>0.0</v>
      </c>
      <c r="Q102" s="2">
        <f t="shared" si="1"/>
        <v>16</v>
      </c>
    </row>
    <row r="103">
      <c r="A103" s="1" t="s">
        <v>123</v>
      </c>
      <c r="B103" s="1" t="s">
        <v>29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1">
        <v>100.0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  <c r="Q103" s="2">
        <f t="shared" si="1"/>
        <v>16</v>
      </c>
    </row>
    <row r="104">
      <c r="A104" s="1" t="s">
        <v>124</v>
      </c>
      <c r="B104" s="1" t="s">
        <v>49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1">
        <v>93.45439508</v>
      </c>
      <c r="J104" s="1">
        <v>0.7804762049</v>
      </c>
      <c r="K104" s="1">
        <v>0.0</v>
      </c>
      <c r="L104" s="1">
        <v>5.765128712</v>
      </c>
      <c r="M104" s="1">
        <v>99.57087001</v>
      </c>
      <c r="N104" s="1">
        <v>0.0</v>
      </c>
      <c r="O104" s="1">
        <v>0.4291299944</v>
      </c>
      <c r="P104" s="1">
        <v>0.0</v>
      </c>
      <c r="Q104" s="2">
        <f t="shared" si="1"/>
        <v>16</v>
      </c>
    </row>
    <row r="105">
      <c r="A105" s="1" t="s">
        <v>125</v>
      </c>
      <c r="B105" s="1" t="s">
        <v>18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1">
        <v>87.258429</v>
      </c>
      <c r="J105" s="1">
        <v>2.606070485</v>
      </c>
      <c r="K105" s="1">
        <v>2.954593684</v>
      </c>
      <c r="L105" s="1">
        <v>7.180906832</v>
      </c>
      <c r="M105" s="1">
        <v>99.30769231</v>
      </c>
      <c r="N105" s="1">
        <v>0.6923076923</v>
      </c>
      <c r="O105" s="1">
        <v>0.0</v>
      </c>
      <c r="P105" s="1">
        <v>0.0</v>
      </c>
      <c r="Q105" s="2">
        <f t="shared" si="1"/>
        <v>16</v>
      </c>
    </row>
    <row r="106">
      <c r="A106" s="1" t="s">
        <v>126</v>
      </c>
      <c r="B106" s="1" t="s">
        <v>49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1">
        <v>59.10744663</v>
      </c>
      <c r="J106" s="1">
        <v>3.520974285</v>
      </c>
      <c r="K106" s="1">
        <v>29.78017368</v>
      </c>
      <c r="L106" s="1">
        <v>7.5914054</v>
      </c>
      <c r="M106" s="1">
        <v>97.40695661</v>
      </c>
      <c r="N106" s="1">
        <v>0.1075523143</v>
      </c>
      <c r="O106" s="1">
        <v>2.244007656</v>
      </c>
      <c r="P106" s="1">
        <v>0.2414834229</v>
      </c>
      <c r="Q106" s="2">
        <f t="shared" si="1"/>
        <v>16</v>
      </c>
    </row>
    <row r="107">
      <c r="A107" s="1" t="s">
        <v>127</v>
      </c>
      <c r="B107" s="1" t="s">
        <v>49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  <c r="P107" s="1" t="s">
        <v>18</v>
      </c>
      <c r="Q107" s="2">
        <f t="shared" si="1"/>
        <v>16</v>
      </c>
    </row>
    <row r="108">
      <c r="A108" s="1" t="s">
        <v>128</v>
      </c>
      <c r="B108" s="1" t="s">
        <v>29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1" t="s">
        <v>18</v>
      </c>
      <c r="J108" s="1" t="s">
        <v>18</v>
      </c>
      <c r="K108" s="1" t="s">
        <v>18</v>
      </c>
      <c r="L108" s="1" t="s">
        <v>18</v>
      </c>
      <c r="M108" s="1" t="s">
        <v>18</v>
      </c>
      <c r="N108" s="1" t="s">
        <v>18</v>
      </c>
      <c r="O108" s="1" t="s">
        <v>18</v>
      </c>
      <c r="P108" s="1" t="s">
        <v>18</v>
      </c>
      <c r="Q108" s="2">
        <f t="shared" si="1"/>
        <v>16</v>
      </c>
    </row>
    <row r="109">
      <c r="A109" s="1" t="s">
        <v>129</v>
      </c>
      <c r="B109" s="1" t="s">
        <v>29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1">
        <v>97.40128797</v>
      </c>
      <c r="J109" s="1">
        <v>0.0</v>
      </c>
      <c r="K109" s="1">
        <v>2.598712031</v>
      </c>
      <c r="L109" s="1">
        <v>0.0</v>
      </c>
      <c r="M109" s="1">
        <v>99.5286704</v>
      </c>
      <c r="N109" s="1">
        <v>0.0</v>
      </c>
      <c r="O109" s="1">
        <v>0.4713296007</v>
      </c>
      <c r="P109" s="1">
        <v>0.0</v>
      </c>
      <c r="Q109" s="2">
        <f t="shared" si="1"/>
        <v>16</v>
      </c>
    </row>
    <row r="110">
      <c r="A110" s="1" t="s">
        <v>130</v>
      </c>
      <c r="B110" s="1" t="s">
        <v>29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1">
        <v>99.11122753</v>
      </c>
      <c r="J110" s="1">
        <v>0.8887724684</v>
      </c>
      <c r="K110" s="1">
        <v>0.0</v>
      </c>
      <c r="L110" s="1">
        <v>0.0</v>
      </c>
      <c r="M110" s="1">
        <v>99.88674854</v>
      </c>
      <c r="N110" s="1">
        <v>0.1132514643</v>
      </c>
      <c r="O110" s="1">
        <v>0.0</v>
      </c>
      <c r="P110" s="1">
        <v>0.0</v>
      </c>
      <c r="Q110" s="2">
        <f t="shared" si="1"/>
        <v>16</v>
      </c>
    </row>
    <row r="111">
      <c r="A111" s="1" t="s">
        <v>131</v>
      </c>
      <c r="B111" s="1" t="s">
        <v>49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1">
        <v>78.47295942</v>
      </c>
      <c r="J111" s="1">
        <v>5.598583786</v>
      </c>
      <c r="K111" s="1">
        <v>15.0109696</v>
      </c>
      <c r="L111" s="1">
        <v>0.9174871957</v>
      </c>
      <c r="M111" s="1">
        <v>97.06426222</v>
      </c>
      <c r="N111" s="1">
        <v>0.0</v>
      </c>
      <c r="O111" s="1">
        <v>2.935737778</v>
      </c>
      <c r="P111" s="1">
        <v>0.0</v>
      </c>
      <c r="Q111" s="2">
        <f t="shared" si="1"/>
        <v>16</v>
      </c>
    </row>
    <row r="112">
      <c r="A112" s="1" t="s">
        <v>132</v>
      </c>
      <c r="B112" s="1" t="s">
        <v>26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1" t="s">
        <v>18</v>
      </c>
      <c r="J112" s="1" t="s">
        <v>18</v>
      </c>
      <c r="K112" s="1" t="s">
        <v>18</v>
      </c>
      <c r="L112" s="1" t="s">
        <v>18</v>
      </c>
      <c r="M112" s="1">
        <v>100.0</v>
      </c>
      <c r="N112" s="1">
        <v>0.0</v>
      </c>
      <c r="O112" s="1">
        <v>0.0</v>
      </c>
      <c r="P112" s="1">
        <v>0.0</v>
      </c>
      <c r="Q112" s="2">
        <f t="shared" si="1"/>
        <v>16</v>
      </c>
    </row>
    <row r="113">
      <c r="A113" s="1" t="s">
        <v>133</v>
      </c>
      <c r="B113" s="1" t="s">
        <v>87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>
        <v>15.5639457</v>
      </c>
      <c r="H113" s="1">
        <v>11.64645233</v>
      </c>
      <c r="I113" s="1">
        <v>52.75270267</v>
      </c>
      <c r="J113" s="1">
        <v>5.221136889</v>
      </c>
      <c r="K113" s="1">
        <v>23.14294909</v>
      </c>
      <c r="L113" s="1">
        <v>18.88321135</v>
      </c>
      <c r="M113" s="1">
        <v>78.41163766</v>
      </c>
      <c r="N113" s="1">
        <v>14.07927743</v>
      </c>
      <c r="O113" s="1">
        <v>5.485735437</v>
      </c>
      <c r="P113" s="1">
        <v>2.023349475</v>
      </c>
      <c r="Q113" s="2">
        <f t="shared" si="1"/>
        <v>16</v>
      </c>
    </row>
    <row r="114">
      <c r="A114" s="1" t="s">
        <v>134</v>
      </c>
      <c r="B114" s="1" t="s">
        <v>87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</v>
      </c>
      <c r="J114" s="1">
        <v>8.187542019</v>
      </c>
      <c r="K114" s="1">
        <v>20.7910842</v>
      </c>
      <c r="L114" s="1">
        <v>18.90382103</v>
      </c>
      <c r="M114" s="1">
        <v>90.58991001</v>
      </c>
      <c r="N114" s="1">
        <v>3.229348056</v>
      </c>
      <c r="O114" s="1">
        <v>5.307990528</v>
      </c>
      <c r="P114" s="1">
        <v>0.8727514049</v>
      </c>
      <c r="Q114" s="2">
        <f t="shared" si="1"/>
        <v>16</v>
      </c>
    </row>
    <row r="115">
      <c r="A115" s="1" t="s">
        <v>135</v>
      </c>
      <c r="B115" s="1" t="s">
        <v>26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  <c r="Q115" s="2">
        <f t="shared" si="1"/>
        <v>16</v>
      </c>
    </row>
    <row r="116">
      <c r="A116" s="1" t="s">
        <v>136</v>
      </c>
      <c r="B116" s="1" t="s">
        <v>26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  <c r="Q116" s="2">
        <f t="shared" si="1"/>
        <v>16</v>
      </c>
    </row>
    <row r="117">
      <c r="A117" s="1" t="s">
        <v>137</v>
      </c>
      <c r="B117" s="1" t="s">
        <v>29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1">
        <v>95.84497475</v>
      </c>
      <c r="J117" s="1">
        <v>3.545864028</v>
      </c>
      <c r="K117" s="1">
        <v>0.5711602866</v>
      </c>
      <c r="L117" s="1">
        <v>0.03800093141</v>
      </c>
      <c r="M117" s="1">
        <v>94.87156989</v>
      </c>
      <c r="N117" s="1">
        <v>4.783037865</v>
      </c>
      <c r="O117" s="1">
        <v>0.3453922445</v>
      </c>
      <c r="P117" s="1">
        <v>0.0</v>
      </c>
      <c r="Q117" s="2">
        <f t="shared" si="1"/>
        <v>16</v>
      </c>
    </row>
    <row r="118">
      <c r="A118" s="1" t="s">
        <v>138</v>
      </c>
      <c r="B118" s="1" t="s">
        <v>49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1">
        <v>39.07134367</v>
      </c>
      <c r="J118" s="1">
        <v>2.429850293</v>
      </c>
      <c r="K118" s="1">
        <v>24.43180086</v>
      </c>
      <c r="L118" s="1">
        <v>34.06700517</v>
      </c>
      <c r="M118" s="1">
        <v>86.07527164</v>
      </c>
      <c r="N118" s="1">
        <v>0.1721822608</v>
      </c>
      <c r="O118" s="1">
        <v>7.390385564</v>
      </c>
      <c r="P118" s="1">
        <v>6.362160532</v>
      </c>
      <c r="Q118" s="2">
        <f t="shared" si="1"/>
        <v>16</v>
      </c>
    </row>
    <row r="119">
      <c r="A119" s="1" t="s">
        <v>139</v>
      </c>
      <c r="B119" s="1" t="s">
        <v>26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>
        <f t="shared" si="1"/>
        <v>16</v>
      </c>
    </row>
    <row r="120">
      <c r="A120" s="1" t="s">
        <v>140</v>
      </c>
      <c r="B120" s="1" t="s">
        <v>29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1">
        <v>98.56412231</v>
      </c>
      <c r="J120" s="1">
        <v>0.9955971951</v>
      </c>
      <c r="K120" s="1">
        <v>0.4402804931</v>
      </c>
      <c r="L120" s="1">
        <v>0.0</v>
      </c>
      <c r="M120" s="1">
        <v>96.01087362</v>
      </c>
      <c r="N120" s="1">
        <v>3.985572644</v>
      </c>
      <c r="O120" s="1">
        <v>0.003553731977</v>
      </c>
      <c r="P120" s="1">
        <v>0.0</v>
      </c>
      <c r="Q120" s="2">
        <f t="shared" si="1"/>
        <v>16</v>
      </c>
    </row>
    <row r="121">
      <c r="A121" s="1" t="s">
        <v>141</v>
      </c>
      <c r="B121" s="1" t="s">
        <v>49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1">
        <v>76.6435992</v>
      </c>
      <c r="J121" s="1">
        <v>3.207143928</v>
      </c>
      <c r="K121" s="1">
        <v>4.140706948</v>
      </c>
      <c r="L121" s="1">
        <v>16.00854992</v>
      </c>
      <c r="M121" s="1">
        <v>95.58062386</v>
      </c>
      <c r="N121" s="1">
        <v>0.8848144763</v>
      </c>
      <c r="O121" s="1">
        <v>1.527268323</v>
      </c>
      <c r="P121" s="1">
        <v>2.007293339</v>
      </c>
      <c r="Q121" s="2">
        <f t="shared" si="1"/>
        <v>16</v>
      </c>
    </row>
    <row r="122">
      <c r="A122" s="1" t="s">
        <v>142</v>
      </c>
      <c r="B122" s="1" t="s">
        <v>26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1">
        <v>100.0</v>
      </c>
      <c r="J122" s="1">
        <v>0.0</v>
      </c>
      <c r="K122" s="1">
        <v>0.0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  <c r="Q122" s="2">
        <f t="shared" si="1"/>
        <v>16</v>
      </c>
    </row>
    <row r="123">
      <c r="A123" s="1" t="s">
        <v>143</v>
      </c>
      <c r="B123" s="1" t="s">
        <v>26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18</v>
      </c>
      <c r="N123" s="1" t="s">
        <v>18</v>
      </c>
      <c r="O123" s="1" t="s">
        <v>18</v>
      </c>
      <c r="P123" s="1" t="s">
        <v>18</v>
      </c>
      <c r="Q123" s="2">
        <f t="shared" si="1"/>
        <v>16</v>
      </c>
    </row>
    <row r="124">
      <c r="A124" s="1" t="s">
        <v>144</v>
      </c>
      <c r="B124" s="1" t="s">
        <v>49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1">
        <v>89.87579955</v>
      </c>
      <c r="J124" s="1">
        <v>0.8067095079</v>
      </c>
      <c r="K124" s="1">
        <v>9.317490946</v>
      </c>
      <c r="L124" s="1">
        <v>0.0</v>
      </c>
      <c r="M124" s="1">
        <v>99.83728281</v>
      </c>
      <c r="N124" s="1">
        <v>0.1537015262</v>
      </c>
      <c r="O124" s="1">
        <v>0.009015663296</v>
      </c>
      <c r="P124" s="1">
        <v>0.0</v>
      </c>
      <c r="Q124" s="2">
        <f t="shared" si="1"/>
        <v>16</v>
      </c>
    </row>
    <row r="125">
      <c r="A125" s="1" t="s">
        <v>145</v>
      </c>
      <c r="B125" s="1" t="s">
        <v>26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1">
        <v>99.71937474</v>
      </c>
      <c r="J125" s="1">
        <v>0.0</v>
      </c>
      <c r="K125" s="1">
        <v>0.2806252626</v>
      </c>
      <c r="L125" s="1">
        <v>0.0</v>
      </c>
      <c r="M125" s="1">
        <v>99.84155768</v>
      </c>
      <c r="N125" s="1">
        <v>0.0</v>
      </c>
      <c r="O125" s="1">
        <v>0.1584423157</v>
      </c>
      <c r="P125" s="1">
        <v>0.0</v>
      </c>
      <c r="Q125" s="2">
        <f t="shared" si="1"/>
        <v>16</v>
      </c>
    </row>
    <row r="126">
      <c r="A126" s="1" t="s">
        <v>146</v>
      </c>
      <c r="B126" s="1" t="s">
        <v>29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1">
        <v>90.92579795</v>
      </c>
      <c r="J126" s="1">
        <v>2.391535671</v>
      </c>
      <c r="K126" s="1">
        <v>6.682666377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  <c r="Q126" s="2">
        <f t="shared" si="1"/>
        <v>16</v>
      </c>
    </row>
    <row r="127">
      <c r="A127" s="1" t="s">
        <v>147</v>
      </c>
      <c r="B127" s="1" t="s">
        <v>26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1">
        <v>99.73877609</v>
      </c>
      <c r="J127" s="1">
        <v>0.0</v>
      </c>
      <c r="K127" s="1">
        <v>0.2612239122</v>
      </c>
      <c r="L127" s="1">
        <v>0.0</v>
      </c>
      <c r="M127" s="1">
        <v>100.0</v>
      </c>
      <c r="N127" s="1">
        <v>0.0</v>
      </c>
      <c r="O127" s="1">
        <v>0.0</v>
      </c>
      <c r="P127" s="1">
        <v>0.0</v>
      </c>
      <c r="Q127" s="2">
        <f t="shared" si="1"/>
        <v>16</v>
      </c>
    </row>
    <row r="128">
      <c r="A128" s="1" t="s">
        <v>148</v>
      </c>
      <c r="B128" s="1" t="s">
        <v>29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1">
        <v>97.31147869</v>
      </c>
      <c r="J128" s="1">
        <v>0.6239465945</v>
      </c>
      <c r="K128" s="1">
        <v>2.024714716</v>
      </c>
      <c r="L128" s="1">
        <v>0.03986</v>
      </c>
      <c r="M128" s="1">
        <v>99.09321259</v>
      </c>
      <c r="N128" s="1">
        <v>0.1013669408</v>
      </c>
      <c r="O128" s="1">
        <v>0.7437104707</v>
      </c>
      <c r="P128" s="1">
        <v>0.06171</v>
      </c>
      <c r="Q128" s="2">
        <f t="shared" si="1"/>
        <v>16</v>
      </c>
    </row>
    <row r="129">
      <c r="A129" s="1" t="s">
        <v>149</v>
      </c>
      <c r="B129" s="1" t="s">
        <v>26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1">
        <v>100.0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  <c r="Q129" s="2">
        <f t="shared" si="1"/>
        <v>16</v>
      </c>
    </row>
    <row r="130">
      <c r="A130" s="1" t="s">
        <v>150</v>
      </c>
      <c r="B130" s="1" t="s">
        <v>26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1">
        <v>99.8175993</v>
      </c>
      <c r="J130" s="1">
        <v>0.0</v>
      </c>
      <c r="K130" s="1">
        <v>0.1824006965</v>
      </c>
      <c r="L130" s="1">
        <v>0.0</v>
      </c>
      <c r="M130" s="1">
        <v>99.90265093</v>
      </c>
      <c r="N130" s="1">
        <v>0.0</v>
      </c>
      <c r="O130" s="1">
        <v>0.0973490679</v>
      </c>
      <c r="P130" s="1">
        <v>0.0</v>
      </c>
      <c r="Q130" s="2">
        <f t="shared" si="1"/>
        <v>16</v>
      </c>
    </row>
    <row r="131">
      <c r="A131" s="1" t="s">
        <v>151</v>
      </c>
      <c r="B131" s="1" t="s">
        <v>29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1">
        <v>90.30446437</v>
      </c>
      <c r="J131" s="1">
        <v>1.385315508</v>
      </c>
      <c r="K131" s="1">
        <v>1.115118127</v>
      </c>
      <c r="L131" s="1">
        <v>7.195101991</v>
      </c>
      <c r="M131" s="1">
        <v>98.03689158</v>
      </c>
      <c r="N131" s="1">
        <v>0.2727920359</v>
      </c>
      <c r="O131" s="1">
        <v>1.302073396</v>
      </c>
      <c r="P131" s="1">
        <v>0.3882429922</v>
      </c>
      <c r="Q131" s="2">
        <f t="shared" si="1"/>
        <v>16</v>
      </c>
    </row>
    <row r="132">
      <c r="A132" s="1" t="s">
        <v>152</v>
      </c>
      <c r="B132" s="1" t="s">
        <v>87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1">
        <v>33.59362881</v>
      </c>
      <c r="J132" s="1">
        <v>42.16438068</v>
      </c>
      <c r="K132" s="1">
        <v>14.11109616</v>
      </c>
      <c r="L132" s="1">
        <v>10.13089435</v>
      </c>
      <c r="M132" s="1">
        <v>70.01770445</v>
      </c>
      <c r="N132" s="1">
        <v>18.71066092</v>
      </c>
      <c r="O132" s="1">
        <v>11.27163464</v>
      </c>
      <c r="P132" s="1">
        <v>0.0</v>
      </c>
      <c r="Q132" s="2">
        <f t="shared" si="1"/>
        <v>16</v>
      </c>
    </row>
    <row r="133">
      <c r="A133" s="1" t="s">
        <v>153</v>
      </c>
      <c r="B133" s="1" t="s">
        <v>29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1">
        <v>94.38665114</v>
      </c>
      <c r="J133" s="1">
        <v>2.591752445</v>
      </c>
      <c r="K133" s="1">
        <v>1.905972935</v>
      </c>
      <c r="L133" s="1">
        <v>1.115623477</v>
      </c>
      <c r="M133" s="1">
        <v>97.77557664</v>
      </c>
      <c r="N133" s="1">
        <v>1.1403859</v>
      </c>
      <c r="O133" s="1">
        <v>1.059840374</v>
      </c>
      <c r="P133" s="1">
        <v>0.02419708411</v>
      </c>
      <c r="Q133" s="2">
        <f t="shared" si="1"/>
        <v>16</v>
      </c>
    </row>
    <row r="134">
      <c r="A134" s="1" t="s">
        <v>154</v>
      </c>
      <c r="B134" s="1" t="s">
        <v>49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1">
        <v>42.8457001</v>
      </c>
      <c r="J134" s="1">
        <v>13.25598695</v>
      </c>
      <c r="K134" s="1">
        <v>43.89831295</v>
      </c>
      <c r="L134" s="1">
        <v>0.0</v>
      </c>
      <c r="M134" s="1">
        <v>84.62262129</v>
      </c>
      <c r="N134" s="1">
        <v>7.227673879</v>
      </c>
      <c r="O134" s="1">
        <v>8.149704835</v>
      </c>
      <c r="P134" s="1">
        <v>0.0</v>
      </c>
      <c r="Q134" s="2">
        <f t="shared" si="1"/>
        <v>16</v>
      </c>
    </row>
    <row r="135">
      <c r="A135" s="1" t="s">
        <v>155</v>
      </c>
      <c r="B135" s="1" t="s">
        <v>26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  <c r="Q135" s="2">
        <f t="shared" si="1"/>
        <v>16</v>
      </c>
    </row>
    <row r="136">
      <c r="A136" s="1" t="s">
        <v>156</v>
      </c>
      <c r="B136" s="1" t="s">
        <v>49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1">
        <v>79.93664283</v>
      </c>
      <c r="J136" s="1">
        <v>0.2447364082</v>
      </c>
      <c r="K136" s="1">
        <v>3.954133693</v>
      </c>
      <c r="L136" s="1">
        <v>15.86448707</v>
      </c>
      <c r="M136" s="1">
        <v>99.12211832</v>
      </c>
      <c r="N136" s="1">
        <v>0.09051328947</v>
      </c>
      <c r="O136" s="1">
        <v>0.5613453808</v>
      </c>
      <c r="P136" s="1">
        <v>0.2260230112</v>
      </c>
      <c r="Q136" s="2">
        <f t="shared" si="1"/>
        <v>16</v>
      </c>
    </row>
    <row r="137">
      <c r="A137" s="1" t="s">
        <v>157</v>
      </c>
      <c r="B137" s="1" t="s">
        <v>49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1">
        <v>93.93623193</v>
      </c>
      <c r="J137" s="1">
        <v>3.351687357</v>
      </c>
      <c r="K137" s="1">
        <v>2.71208071</v>
      </c>
      <c r="L137" s="1">
        <v>0.0</v>
      </c>
      <c r="M137" s="1">
        <v>99.12119763</v>
      </c>
      <c r="N137" s="1">
        <v>0.8788023684</v>
      </c>
      <c r="O137" s="1">
        <v>0.0</v>
      </c>
      <c r="P137" s="1">
        <v>0.0</v>
      </c>
      <c r="Q137" s="2">
        <f t="shared" si="1"/>
        <v>16</v>
      </c>
    </row>
    <row r="138">
      <c r="A138" s="1" t="s">
        <v>158</v>
      </c>
      <c r="B138" s="1" t="s">
        <v>87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1">
        <v>57.68576527</v>
      </c>
      <c r="J138" s="1">
        <v>21.25148213</v>
      </c>
      <c r="K138" s="1">
        <v>16.89675238</v>
      </c>
      <c r="L138" s="1">
        <v>4.166000219</v>
      </c>
      <c r="M138" s="1">
        <v>90.66911086</v>
      </c>
      <c r="N138" s="1">
        <v>8.034462869</v>
      </c>
      <c r="O138" s="1">
        <v>1.296426269</v>
      </c>
      <c r="P138" s="1">
        <v>0.0</v>
      </c>
      <c r="Q138" s="2">
        <f t="shared" si="1"/>
        <v>16</v>
      </c>
    </row>
    <row r="139">
      <c r="A139" s="1" t="s">
        <v>159</v>
      </c>
      <c r="B139" s="1" t="s">
        <v>49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1">
        <v>58.05226799</v>
      </c>
      <c r="J139" s="1">
        <v>12.70520504</v>
      </c>
      <c r="K139" s="1">
        <v>23.97796833</v>
      </c>
      <c r="L139" s="1">
        <v>5.264558634</v>
      </c>
      <c r="M139" s="1">
        <v>73.25800004</v>
      </c>
      <c r="N139" s="1">
        <v>5.708056353</v>
      </c>
      <c r="O139" s="1">
        <v>19.83580681</v>
      </c>
      <c r="P139" s="1">
        <v>1.198136794</v>
      </c>
      <c r="Q139" s="2">
        <f t="shared" si="1"/>
        <v>16</v>
      </c>
    </row>
    <row r="140">
      <c r="A140" s="1" t="s">
        <v>160</v>
      </c>
      <c r="B140" s="1" t="s">
        <v>87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1">
        <v>55.64246823</v>
      </c>
      <c r="J140" s="1">
        <v>25.08014133</v>
      </c>
      <c r="K140" s="1">
        <v>14.77886772</v>
      </c>
      <c r="L140" s="1">
        <v>4.498522714</v>
      </c>
      <c r="M140" s="1">
        <v>83.0175993</v>
      </c>
      <c r="N140" s="1">
        <v>9.250506251</v>
      </c>
      <c r="O140" s="1">
        <v>5.462303057</v>
      </c>
      <c r="P140" s="1">
        <v>2.269591394</v>
      </c>
      <c r="Q140" s="2">
        <f t="shared" si="1"/>
        <v>16</v>
      </c>
    </row>
    <row r="141">
      <c r="A141" s="1" t="s">
        <v>161</v>
      </c>
      <c r="B141" s="1" t="s">
        <v>87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1">
        <v>50.74817899</v>
      </c>
      <c r="J141" s="1">
        <v>26.14432944</v>
      </c>
      <c r="K141" s="1">
        <v>9.704719143</v>
      </c>
      <c r="L141" s="1">
        <v>13.40277243</v>
      </c>
      <c r="M141" s="1">
        <v>86.58169007</v>
      </c>
      <c r="N141" s="1">
        <v>12.95724153</v>
      </c>
      <c r="O141" s="1">
        <v>0.461068398</v>
      </c>
      <c r="P141" s="1">
        <v>0.0</v>
      </c>
      <c r="Q141" s="2">
        <f t="shared" si="1"/>
        <v>16</v>
      </c>
    </row>
    <row r="142">
      <c r="A142" s="1" t="s">
        <v>162</v>
      </c>
      <c r="B142" s="1" t="s">
        <v>49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1">
        <v>48.28242885</v>
      </c>
      <c r="J142" s="1">
        <v>18.59098467</v>
      </c>
      <c r="K142" s="1">
        <v>23.01364655</v>
      </c>
      <c r="L142" s="1">
        <v>10.11293992</v>
      </c>
      <c r="M142" s="1">
        <v>92.89512895</v>
      </c>
      <c r="N142" s="1">
        <v>4.964517757</v>
      </c>
      <c r="O142" s="1">
        <v>2.122298674</v>
      </c>
      <c r="P142" s="1">
        <v>0.01805461538</v>
      </c>
      <c r="Q142" s="2">
        <f t="shared" si="1"/>
        <v>16</v>
      </c>
    </row>
    <row r="143">
      <c r="A143" s="1" t="s">
        <v>163</v>
      </c>
      <c r="B143" s="1" t="s">
        <v>87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1">
        <v>37.07586282</v>
      </c>
      <c r="J143" s="1">
        <v>36.64324958</v>
      </c>
      <c r="K143" s="1">
        <v>21.82149546</v>
      </c>
      <c r="L143" s="1">
        <v>4.459392143</v>
      </c>
      <c r="M143" s="1">
        <v>79.12330574</v>
      </c>
      <c r="N143" s="1">
        <v>17.26991556</v>
      </c>
      <c r="O143" s="1">
        <v>3.606778703</v>
      </c>
      <c r="P143" s="1">
        <v>0.0</v>
      </c>
      <c r="Q143" s="2">
        <f t="shared" si="1"/>
        <v>16</v>
      </c>
    </row>
    <row r="144">
      <c r="A144" s="1" t="s">
        <v>164</v>
      </c>
      <c r="B144" s="1" t="s">
        <v>87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1">
        <v>37.57521525</v>
      </c>
      <c r="J144" s="1">
        <v>14.35396111</v>
      </c>
      <c r="K144" s="1">
        <v>38.52496761</v>
      </c>
      <c r="L144" s="1">
        <v>9.545856027</v>
      </c>
      <c r="M144" s="1">
        <v>74.19222309</v>
      </c>
      <c r="N144" s="1">
        <v>15.99651381</v>
      </c>
      <c r="O144" s="1">
        <v>8.922452721</v>
      </c>
      <c r="P144" s="1">
        <v>0.8888103843</v>
      </c>
      <c r="Q144" s="2">
        <f t="shared" si="1"/>
        <v>16</v>
      </c>
    </row>
    <row r="145">
      <c r="A145" s="1" t="s">
        <v>165</v>
      </c>
      <c r="B145" s="1" t="s">
        <v>49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1">
        <v>65.06715583</v>
      </c>
      <c r="J145" s="1">
        <v>15.51772278</v>
      </c>
      <c r="K145" s="1">
        <v>7.492899307</v>
      </c>
      <c r="L145" s="1">
        <v>11.92222209</v>
      </c>
      <c r="M145" s="1">
        <v>90.45807717</v>
      </c>
      <c r="N145" s="1">
        <v>8.85091472</v>
      </c>
      <c r="O145" s="1">
        <v>0.0</v>
      </c>
      <c r="P145" s="1">
        <v>0.6910081144</v>
      </c>
      <c r="Q145" s="2">
        <f t="shared" si="1"/>
        <v>16</v>
      </c>
    </row>
    <row r="146">
      <c r="A146" s="1" t="s">
        <v>166</v>
      </c>
      <c r="B146" s="1" t="s">
        <v>49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1">
        <v>75.2429282</v>
      </c>
      <c r="J146" s="1">
        <v>4.052382433</v>
      </c>
      <c r="K146" s="1">
        <v>20.51245174</v>
      </c>
      <c r="L146" s="1">
        <v>0.1922376314</v>
      </c>
      <c r="M146" s="1">
        <v>95.32170094</v>
      </c>
      <c r="N146" s="1">
        <v>0.5920836567</v>
      </c>
      <c r="O146" s="1">
        <v>4.086215402</v>
      </c>
      <c r="P146" s="1">
        <v>0.0</v>
      </c>
      <c r="Q146" s="2">
        <f t="shared" si="1"/>
        <v>16</v>
      </c>
    </row>
    <row r="147">
      <c r="A147" s="1" t="s">
        <v>167</v>
      </c>
      <c r="B147" s="1" t="s">
        <v>26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1">
        <v>100.0</v>
      </c>
      <c r="J147" s="1">
        <v>0.0</v>
      </c>
      <c r="K147" s="1">
        <v>0.0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  <c r="Q147" s="2">
        <f t="shared" si="1"/>
        <v>16</v>
      </c>
    </row>
    <row r="148">
      <c r="A148" s="1" t="s">
        <v>168</v>
      </c>
      <c r="B148" s="1" t="s">
        <v>87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1">
        <v>92.082745</v>
      </c>
      <c r="J148" s="1">
        <v>7.917255</v>
      </c>
      <c r="K148" s="1">
        <v>0.0</v>
      </c>
      <c r="L148" s="1">
        <v>0.0</v>
      </c>
      <c r="M148" s="1">
        <v>95.40516436</v>
      </c>
      <c r="N148" s="1">
        <v>4.233570117</v>
      </c>
      <c r="O148" s="1">
        <v>0.361265525</v>
      </c>
      <c r="P148" s="1">
        <v>0.0</v>
      </c>
      <c r="Q148" s="2">
        <f t="shared" si="1"/>
        <v>16</v>
      </c>
    </row>
    <row r="149">
      <c r="A149" s="1" t="s">
        <v>169</v>
      </c>
      <c r="B149" s="1" t="s">
        <v>29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1">
        <v>87.05074495</v>
      </c>
      <c r="J149" s="1">
        <v>0.009631811022</v>
      </c>
      <c r="K149" s="1">
        <v>7.26819549</v>
      </c>
      <c r="L149" s="1">
        <v>5.671427747</v>
      </c>
      <c r="M149" s="1">
        <v>100.0</v>
      </c>
      <c r="N149" s="1">
        <v>0.0</v>
      </c>
      <c r="O149" s="1">
        <v>0.0</v>
      </c>
      <c r="P149" s="1">
        <v>0.0</v>
      </c>
      <c r="Q149" s="2">
        <f t="shared" si="1"/>
        <v>16</v>
      </c>
    </row>
    <row r="150">
      <c r="A150" s="1" t="s">
        <v>170</v>
      </c>
      <c r="B150" s="1" t="s">
        <v>29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1">
        <v>90.1193298</v>
      </c>
      <c r="J150" s="1">
        <v>1.849169999</v>
      </c>
      <c r="K150" s="1">
        <v>4.583438691</v>
      </c>
      <c r="L150" s="1">
        <v>3.448061508</v>
      </c>
      <c r="M150" s="1">
        <v>97.61816944</v>
      </c>
      <c r="N150" s="1">
        <v>0.2768660057</v>
      </c>
      <c r="O150" s="1">
        <v>1.94525887</v>
      </c>
      <c r="P150" s="1">
        <v>0.1597056849</v>
      </c>
      <c r="Q150" s="2">
        <f t="shared" si="1"/>
        <v>16</v>
      </c>
    </row>
    <row r="151">
      <c r="A151" s="1" t="s">
        <v>171</v>
      </c>
      <c r="B151" s="1" t="s">
        <v>87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1">
        <v>48.22728833</v>
      </c>
      <c r="J151" s="1">
        <v>8.331703613</v>
      </c>
      <c r="K151" s="1">
        <v>31.60865444</v>
      </c>
      <c r="L151" s="1">
        <v>11.83235362</v>
      </c>
      <c r="M151" s="1">
        <v>86.73385466</v>
      </c>
      <c r="N151" s="1">
        <v>3.451996194</v>
      </c>
      <c r="O151" s="1">
        <v>9.130414105</v>
      </c>
      <c r="P151" s="1">
        <v>0.6837350463</v>
      </c>
      <c r="Q151" s="2">
        <f t="shared" si="1"/>
        <v>16</v>
      </c>
    </row>
    <row r="152">
      <c r="A152" s="1" t="s">
        <v>172</v>
      </c>
      <c r="B152" s="1" t="s">
        <v>29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1">
        <v>91.93925234</v>
      </c>
      <c r="J152" s="1">
        <v>1.862616064</v>
      </c>
      <c r="K152" s="1">
        <v>6.014693049</v>
      </c>
      <c r="L152" s="1">
        <v>0.1834385438</v>
      </c>
      <c r="M152" s="1">
        <v>98.00073133</v>
      </c>
      <c r="N152" s="1">
        <v>1.999268673</v>
      </c>
      <c r="O152" s="1">
        <v>0.0</v>
      </c>
      <c r="P152" s="1">
        <v>0.0</v>
      </c>
      <c r="Q152" s="2">
        <f t="shared" si="1"/>
        <v>16</v>
      </c>
    </row>
    <row r="153">
      <c r="A153" s="1" t="s">
        <v>173</v>
      </c>
      <c r="B153" s="1" t="s">
        <v>26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  <c r="Q153" s="2">
        <f t="shared" si="1"/>
        <v>16</v>
      </c>
    </row>
    <row r="154">
      <c r="A154" s="1" t="s">
        <v>174</v>
      </c>
      <c r="B154" s="1" t="s">
        <v>87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1">
        <v>66.58504376</v>
      </c>
      <c r="J154" s="1">
        <v>24.41415803</v>
      </c>
      <c r="K154" s="1">
        <v>6.383874146</v>
      </c>
      <c r="L154" s="1">
        <v>2.616924066</v>
      </c>
      <c r="M154" s="1">
        <v>86.45469821</v>
      </c>
      <c r="N154" s="1">
        <v>10.27894825</v>
      </c>
      <c r="O154" s="1">
        <v>2.897503996</v>
      </c>
      <c r="P154" s="1">
        <v>0.3688495446</v>
      </c>
      <c r="Q154" s="2">
        <f t="shared" si="1"/>
        <v>16</v>
      </c>
    </row>
    <row r="155">
      <c r="A155" s="1" t="s">
        <v>175</v>
      </c>
      <c r="B155" s="1" t="s">
        <v>26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1">
        <v>100.0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  <c r="Q155" s="2">
        <f t="shared" si="1"/>
        <v>16</v>
      </c>
    </row>
    <row r="156">
      <c r="A156" s="1" t="s">
        <v>176</v>
      </c>
      <c r="B156" s="1" t="s">
        <v>87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1">
        <v>72.08089521</v>
      </c>
      <c r="J156" s="1">
        <v>3.78241223</v>
      </c>
      <c r="K156" s="1">
        <v>21.72810084</v>
      </c>
      <c r="L156" s="1">
        <v>2.408591717</v>
      </c>
      <c r="M156" s="1">
        <v>95.91745475</v>
      </c>
      <c r="N156" s="1">
        <v>3.947121723</v>
      </c>
      <c r="O156" s="1">
        <v>0.1354235314</v>
      </c>
      <c r="P156" s="1">
        <v>0.0</v>
      </c>
      <c r="Q156" s="2">
        <f t="shared" si="1"/>
        <v>16</v>
      </c>
    </row>
    <row r="157">
      <c r="A157" s="1" t="s">
        <v>177</v>
      </c>
      <c r="B157" s="1" t="s">
        <v>87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1">
        <v>32.7182589</v>
      </c>
      <c r="J157" s="1">
        <v>38.62690254</v>
      </c>
      <c r="K157" s="1">
        <v>28.3404457</v>
      </c>
      <c r="L157" s="1">
        <v>0.3143928626</v>
      </c>
      <c r="M157" s="1">
        <v>80.08191854</v>
      </c>
      <c r="N157" s="1">
        <v>14.60004919</v>
      </c>
      <c r="O157" s="1">
        <v>4.875836487</v>
      </c>
      <c r="P157" s="1">
        <v>0.4421957805</v>
      </c>
      <c r="Q157" s="2">
        <f t="shared" si="1"/>
        <v>16</v>
      </c>
    </row>
    <row r="158">
      <c r="A158" s="1" t="s">
        <v>178</v>
      </c>
      <c r="B158" s="1" t="s">
        <v>49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1">
        <v>90.5374357</v>
      </c>
      <c r="J158" s="1">
        <v>0.7032099038</v>
      </c>
      <c r="K158" s="1">
        <v>6.510488612</v>
      </c>
      <c r="L158" s="1">
        <v>2.248865782</v>
      </c>
      <c r="M158" s="1">
        <v>99.56938019</v>
      </c>
      <c r="N158" s="1">
        <v>0.1273977901</v>
      </c>
      <c r="O158" s="1">
        <v>0.3032220202</v>
      </c>
      <c r="P158" s="1">
        <v>0.0</v>
      </c>
      <c r="Q158" s="2">
        <f t="shared" si="1"/>
        <v>16</v>
      </c>
    </row>
    <row r="159">
      <c r="A159" s="1" t="s">
        <v>179</v>
      </c>
      <c r="B159" s="1" t="s">
        <v>87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1">
        <v>39.15415932</v>
      </c>
      <c r="J159" s="1">
        <v>23.98774039</v>
      </c>
      <c r="K159" s="1">
        <v>31.99150648</v>
      </c>
      <c r="L159" s="1">
        <v>4.866593813</v>
      </c>
      <c r="M159" s="1">
        <v>85.81383976</v>
      </c>
      <c r="N159" s="1">
        <v>9.950440829</v>
      </c>
      <c r="O159" s="1">
        <v>2.13468778</v>
      </c>
      <c r="P159" s="1">
        <v>2.101031634</v>
      </c>
      <c r="Q159" s="2">
        <f t="shared" si="1"/>
        <v>16</v>
      </c>
    </row>
    <row r="160">
      <c r="A160" s="1" t="s">
        <v>180</v>
      </c>
      <c r="B160" s="1" t="s">
        <v>26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99.965</v>
      </c>
      <c r="N160" s="1">
        <v>0.0</v>
      </c>
      <c r="O160" s="1">
        <v>0.035</v>
      </c>
      <c r="P160" s="1">
        <v>0.0</v>
      </c>
      <c r="Q160" s="2">
        <f t="shared" si="1"/>
        <v>16</v>
      </c>
    </row>
    <row r="161">
      <c r="A161" s="1" t="s">
        <v>181</v>
      </c>
      <c r="B161" s="1" t="s">
        <v>87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1">
        <v>88.75362488</v>
      </c>
      <c r="J161" s="1">
        <v>0.3564402606</v>
      </c>
      <c r="K161" s="1">
        <v>10.18993486</v>
      </c>
      <c r="L161" s="1">
        <v>0.7</v>
      </c>
      <c r="M161" s="1">
        <v>96.91351044</v>
      </c>
      <c r="N161" s="1">
        <v>0.8801428799</v>
      </c>
      <c r="O161" s="1">
        <v>2.206346677</v>
      </c>
      <c r="P161" s="1">
        <v>0.0</v>
      </c>
      <c r="Q161" s="2">
        <f t="shared" si="1"/>
        <v>16</v>
      </c>
    </row>
    <row r="162">
      <c r="A162" s="1" t="s">
        <v>182</v>
      </c>
      <c r="B162" s="1" t="s">
        <v>49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1">
        <v>55.72244686</v>
      </c>
      <c r="J162" s="1">
        <v>13.34316829</v>
      </c>
      <c r="K162" s="1">
        <v>23.17527956</v>
      </c>
      <c r="L162" s="1">
        <v>7.759105289</v>
      </c>
      <c r="M162" s="1">
        <v>85.09355329</v>
      </c>
      <c r="N162" s="1">
        <v>4.818535156</v>
      </c>
      <c r="O162" s="1">
        <v>5.80236656</v>
      </c>
      <c r="P162" s="1">
        <v>4.285544994</v>
      </c>
      <c r="Q162" s="2">
        <f t="shared" si="1"/>
        <v>16</v>
      </c>
    </row>
    <row r="163">
      <c r="A163" s="1" t="s">
        <v>183</v>
      </c>
      <c r="B163" s="1" t="s">
        <v>49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1">
        <v>43.52758112</v>
      </c>
      <c r="J163" s="1">
        <v>12.67259943</v>
      </c>
      <c r="K163" s="1">
        <v>30.12380645</v>
      </c>
      <c r="L163" s="1">
        <v>13.676013</v>
      </c>
      <c r="M163" s="1">
        <v>82.08358486</v>
      </c>
      <c r="N163" s="1">
        <v>13.02379677</v>
      </c>
      <c r="O163" s="1">
        <v>3.850701351</v>
      </c>
      <c r="P163" s="1">
        <v>1.041917019</v>
      </c>
      <c r="Q163" s="2">
        <f t="shared" si="1"/>
        <v>16</v>
      </c>
    </row>
    <row r="164">
      <c r="A164" s="1" t="s">
        <v>184</v>
      </c>
      <c r="B164" s="1" t="s">
        <v>87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1">
        <v>36.40642028</v>
      </c>
      <c r="J164" s="1">
        <v>1.601776163</v>
      </c>
      <c r="K164" s="1">
        <v>43.95389345</v>
      </c>
      <c r="L164" s="1">
        <v>18.03791011</v>
      </c>
      <c r="M164" s="1">
        <v>80.47000694</v>
      </c>
      <c r="N164" s="1">
        <v>4.498430298</v>
      </c>
      <c r="O164" s="1">
        <v>13.74049434</v>
      </c>
      <c r="P164" s="1">
        <v>1.291068417</v>
      </c>
      <c r="Q164" s="2">
        <f t="shared" si="1"/>
        <v>16</v>
      </c>
    </row>
    <row r="165">
      <c r="A165" s="1" t="s">
        <v>185</v>
      </c>
      <c r="B165" s="1" t="s">
        <v>18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18</v>
      </c>
      <c r="Q165" s="2">
        <f t="shared" si="1"/>
        <v>16</v>
      </c>
    </row>
    <row r="166">
      <c r="A166" s="1" t="s">
        <v>186</v>
      </c>
      <c r="B166" s="1" t="s">
        <v>49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1">
        <v>90.20327165</v>
      </c>
      <c r="J166" s="1">
        <v>4.207348246</v>
      </c>
      <c r="K166" s="1">
        <v>4.269023951</v>
      </c>
      <c r="L166" s="1">
        <v>1.320356149</v>
      </c>
      <c r="M166" s="1">
        <v>89.57763316</v>
      </c>
      <c r="N166" s="1">
        <v>3.101581411</v>
      </c>
      <c r="O166" s="1">
        <v>6.359123168</v>
      </c>
      <c r="P166" s="1">
        <v>0.9616622585</v>
      </c>
      <c r="Q166" s="2">
        <f t="shared" si="1"/>
        <v>16</v>
      </c>
    </row>
    <row r="167">
      <c r="A167" s="1" t="s">
        <v>187</v>
      </c>
      <c r="B167" s="1" t="s">
        <v>87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1">
        <v>50.68133437</v>
      </c>
      <c r="J167" s="1">
        <v>33.53021373</v>
      </c>
      <c r="K167" s="1">
        <v>11.60782393</v>
      </c>
      <c r="L167" s="1">
        <v>4.180627978</v>
      </c>
      <c r="M167" s="1">
        <v>77.01412934</v>
      </c>
      <c r="N167" s="1">
        <v>21.48137937</v>
      </c>
      <c r="O167" s="1">
        <v>1.504491286</v>
      </c>
      <c r="P167" s="1">
        <v>0.0</v>
      </c>
      <c r="Q167" s="2">
        <f t="shared" si="1"/>
        <v>16</v>
      </c>
    </row>
    <row r="168">
      <c r="A168" s="1" t="s">
        <v>188</v>
      </c>
      <c r="B168" s="1" t="s">
        <v>49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1">
        <v>71.89275005</v>
      </c>
      <c r="J168" s="1">
        <v>11.93454827</v>
      </c>
      <c r="K168" s="1">
        <v>4.999356483</v>
      </c>
      <c r="L168" s="1">
        <v>11.17334519</v>
      </c>
      <c r="M168" s="1">
        <v>96.12725952</v>
      </c>
      <c r="N168" s="1">
        <v>2.608342455</v>
      </c>
      <c r="O168" s="1">
        <v>1.185613803</v>
      </c>
      <c r="P168" s="1">
        <v>0.07878421819</v>
      </c>
      <c r="Q168" s="2">
        <f t="shared" si="1"/>
        <v>16</v>
      </c>
    </row>
    <row r="169">
      <c r="A169" s="1" t="s">
        <v>189</v>
      </c>
      <c r="B169" s="1" t="s">
        <v>87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1">
        <v>48.8666865</v>
      </c>
      <c r="J169" s="1">
        <v>12.64088359</v>
      </c>
      <c r="K169" s="1">
        <v>23.6862564</v>
      </c>
      <c r="L169" s="1">
        <v>14.80617352</v>
      </c>
      <c r="M169" s="1">
        <v>87.98504792</v>
      </c>
      <c r="N169" s="1">
        <v>5.452291027</v>
      </c>
      <c r="O169" s="1">
        <v>4.912684644</v>
      </c>
      <c r="P169" s="1">
        <v>1.649976404</v>
      </c>
      <c r="Q169" s="2">
        <f t="shared" si="1"/>
        <v>16</v>
      </c>
    </row>
    <row r="170">
      <c r="A170" s="1" t="s">
        <v>190</v>
      </c>
      <c r="B170" s="1" t="s">
        <v>29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18</v>
      </c>
      <c r="I170" s="1">
        <v>90.19744812</v>
      </c>
      <c r="J170" s="1">
        <v>0.5444513971</v>
      </c>
      <c r="K170" s="1">
        <v>9.258100478</v>
      </c>
      <c r="L170" s="1" t="s">
        <v>18</v>
      </c>
      <c r="M170" s="1">
        <v>99.14309591</v>
      </c>
      <c r="N170" s="1">
        <v>0.2983242605</v>
      </c>
      <c r="O170" s="1">
        <v>0.4685798319</v>
      </c>
      <c r="P170" s="1">
        <v>0.09</v>
      </c>
      <c r="Q170" s="2">
        <f t="shared" si="1"/>
        <v>16</v>
      </c>
    </row>
    <row r="171">
      <c r="A171" s="1" t="s">
        <v>191</v>
      </c>
      <c r="B171" s="1" t="s">
        <v>49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1">
        <v>27.80822661</v>
      </c>
      <c r="J171" s="1">
        <v>8.740488389</v>
      </c>
      <c r="K171" s="1">
        <v>22.93315258</v>
      </c>
      <c r="L171" s="1">
        <v>40.51813242</v>
      </c>
      <c r="M171" s="1">
        <v>71.74314862</v>
      </c>
      <c r="N171" s="1">
        <v>9.558837489</v>
      </c>
      <c r="O171" s="1">
        <v>17.72203473</v>
      </c>
      <c r="P171" s="1">
        <v>0.9759791629</v>
      </c>
      <c r="Q171" s="2">
        <f t="shared" si="1"/>
        <v>16</v>
      </c>
    </row>
    <row r="172">
      <c r="A172" s="1" t="s">
        <v>192</v>
      </c>
      <c r="B172" s="1" t="s">
        <v>29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1">
        <v>80.79943849</v>
      </c>
      <c r="J172" s="1">
        <v>1.596943771</v>
      </c>
      <c r="K172" s="1">
        <v>9.612691163</v>
      </c>
      <c r="L172" s="1">
        <v>7.990926578</v>
      </c>
      <c r="M172" s="1">
        <v>96.55984408</v>
      </c>
      <c r="N172" s="1">
        <v>0.6423932356</v>
      </c>
      <c r="O172" s="1">
        <v>2.636408693</v>
      </c>
      <c r="P172" s="1">
        <v>0.1613539953</v>
      </c>
      <c r="Q172" s="2">
        <f t="shared" si="1"/>
        <v>16</v>
      </c>
    </row>
    <row r="173">
      <c r="A173" s="1" t="s">
        <v>193</v>
      </c>
      <c r="B173" s="1" t="s">
        <v>49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1">
        <v>96.07258236</v>
      </c>
      <c r="J173" s="1">
        <v>0.0</v>
      </c>
      <c r="K173" s="1">
        <v>0.0</v>
      </c>
      <c r="L173" s="1">
        <v>3.927417637</v>
      </c>
      <c r="M173" s="1">
        <v>99.55600556</v>
      </c>
      <c r="N173" s="1">
        <v>0.0</v>
      </c>
      <c r="O173" s="1">
        <v>0.4439944434</v>
      </c>
      <c r="P173" s="1">
        <v>0.0</v>
      </c>
      <c r="Q173" s="2">
        <f t="shared" si="1"/>
        <v>16</v>
      </c>
    </row>
    <row r="174">
      <c r="A174" s="1" t="s">
        <v>194</v>
      </c>
      <c r="B174" s="1" t="s">
        <v>26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1" t="s">
        <v>18</v>
      </c>
      <c r="J174" s="1" t="s">
        <v>18</v>
      </c>
      <c r="K174" s="1" t="s">
        <v>18</v>
      </c>
      <c r="L174" s="1" t="s">
        <v>18</v>
      </c>
      <c r="M174" s="1" t="s">
        <v>18</v>
      </c>
      <c r="N174" s="1" t="s">
        <v>18</v>
      </c>
      <c r="O174" s="1" t="s">
        <v>18</v>
      </c>
      <c r="P174" s="1" t="s">
        <v>18</v>
      </c>
      <c r="Q174" s="2">
        <f t="shared" si="1"/>
        <v>16</v>
      </c>
    </row>
    <row r="175">
      <c r="A175" s="1" t="s">
        <v>195</v>
      </c>
      <c r="B175" s="1" t="s">
        <v>49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1">
        <v>77.34612896</v>
      </c>
      <c r="J175" s="1">
        <v>12.03707816</v>
      </c>
      <c r="K175" s="1">
        <v>6.623063373</v>
      </c>
      <c r="L175" s="1">
        <v>3.993729502</v>
      </c>
      <c r="M175" s="1">
        <v>97.89674601</v>
      </c>
      <c r="N175" s="1">
        <v>1.375477117</v>
      </c>
      <c r="O175" s="1">
        <v>0.7277768759</v>
      </c>
      <c r="P175" s="1">
        <v>0.0</v>
      </c>
      <c r="Q175" s="2">
        <f t="shared" si="1"/>
        <v>16</v>
      </c>
    </row>
    <row r="176">
      <c r="A176" s="1" t="s">
        <v>196</v>
      </c>
      <c r="B176" s="1" t="s">
        <v>26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1">
        <v>99.0604959</v>
      </c>
      <c r="J176" s="1">
        <v>0.0</v>
      </c>
      <c r="K176" s="1">
        <v>0.9395041006</v>
      </c>
      <c r="L176" s="1">
        <v>0.0</v>
      </c>
      <c r="M176" s="1">
        <v>99.25827766</v>
      </c>
      <c r="N176" s="1">
        <v>0.0</v>
      </c>
      <c r="O176" s="1">
        <v>0.7417223371</v>
      </c>
      <c r="P176" s="1">
        <v>0.0</v>
      </c>
      <c r="Q176" s="2">
        <f t="shared" si="1"/>
        <v>16</v>
      </c>
    </row>
    <row r="177">
      <c r="A177" s="1" t="s">
        <v>197</v>
      </c>
      <c r="B177" s="1" t="s">
        <v>26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99.94435484</v>
      </c>
      <c r="N177" s="1">
        <v>0.0</v>
      </c>
      <c r="O177" s="1">
        <v>0.05564516129</v>
      </c>
      <c r="P177" s="1">
        <v>0.0</v>
      </c>
      <c r="Q177" s="2">
        <f t="shared" si="1"/>
        <v>16</v>
      </c>
    </row>
    <row r="178">
      <c r="A178" s="1" t="s">
        <v>198</v>
      </c>
      <c r="B178" s="1" t="s">
        <v>87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1">
        <v>66.32791521</v>
      </c>
      <c r="J178" s="1">
        <v>1.956824851</v>
      </c>
      <c r="K178" s="1">
        <v>19.68294895</v>
      </c>
      <c r="L178" s="1">
        <v>12.03231098</v>
      </c>
      <c r="M178" s="1">
        <v>100.0</v>
      </c>
      <c r="N178" s="1">
        <v>0.0</v>
      </c>
      <c r="O178" s="1">
        <v>0.0</v>
      </c>
      <c r="P178" s="1">
        <v>0.0</v>
      </c>
      <c r="Q178" s="2">
        <f t="shared" si="1"/>
        <v>16</v>
      </c>
    </row>
    <row r="179">
      <c r="A179" s="1" t="s">
        <v>199</v>
      </c>
      <c r="B179" s="1" t="s">
        <v>29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1">
        <v>94.83114678</v>
      </c>
      <c r="J179" s="1">
        <v>2.599251339</v>
      </c>
      <c r="K179" s="1">
        <v>0.0</v>
      </c>
      <c r="L179" s="1">
        <v>2.569601877</v>
      </c>
      <c r="M179" s="1">
        <v>99.80873103</v>
      </c>
      <c r="N179" s="1">
        <v>0.19126897</v>
      </c>
      <c r="O179" s="1">
        <v>0.0</v>
      </c>
      <c r="P179" s="1">
        <v>0.0</v>
      </c>
      <c r="Q179" s="2">
        <f t="shared" si="1"/>
        <v>16</v>
      </c>
    </row>
    <row r="180">
      <c r="A180" s="1" t="s">
        <v>200</v>
      </c>
      <c r="B180" s="1" t="s">
        <v>49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1">
        <v>100.0</v>
      </c>
      <c r="J180" s="1">
        <v>0.0</v>
      </c>
      <c r="K180" s="1">
        <v>0.0</v>
      </c>
      <c r="L180" s="1">
        <v>0.0</v>
      </c>
      <c r="M180" s="1">
        <v>91.27727011</v>
      </c>
      <c r="N180" s="1">
        <v>8.14845779</v>
      </c>
      <c r="O180" s="1">
        <v>0.1090456533</v>
      </c>
      <c r="P180" s="1">
        <v>0.4652264446</v>
      </c>
      <c r="Q180" s="2">
        <f t="shared" si="1"/>
        <v>16</v>
      </c>
    </row>
    <row r="181">
      <c r="A181" s="1" t="s">
        <v>201</v>
      </c>
      <c r="B181" s="1" t="s">
        <v>87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1">
        <v>53.19902707</v>
      </c>
      <c r="J181" s="1">
        <v>27.45764451</v>
      </c>
      <c r="K181" s="1">
        <v>5.637660008</v>
      </c>
      <c r="L181" s="1">
        <v>13.70566842</v>
      </c>
      <c r="M181" s="1">
        <v>73.76365956</v>
      </c>
      <c r="N181" s="1">
        <v>25.22343986</v>
      </c>
      <c r="O181" s="1">
        <v>0.0</v>
      </c>
      <c r="P181" s="1">
        <v>1.012900581</v>
      </c>
      <c r="Q181" s="2">
        <f t="shared" si="1"/>
        <v>16</v>
      </c>
    </row>
    <row r="182">
      <c r="A182" s="1" t="s">
        <v>202</v>
      </c>
      <c r="B182" s="1" t="s">
        <v>49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1">
        <v>90.03753791</v>
      </c>
      <c r="J182" s="1">
        <v>8.79672214</v>
      </c>
      <c r="K182" s="1">
        <v>0.9946030281</v>
      </c>
      <c r="L182" s="1">
        <v>0.1711369258</v>
      </c>
      <c r="M182" s="1">
        <v>96.00473586</v>
      </c>
      <c r="N182" s="1">
        <v>3.628288591</v>
      </c>
      <c r="O182" s="1">
        <v>0.3669755478</v>
      </c>
      <c r="P182" s="1">
        <v>0.0</v>
      </c>
      <c r="Q182" s="2">
        <f t="shared" si="1"/>
        <v>16</v>
      </c>
    </row>
    <row r="183">
      <c r="A183" s="1" t="s">
        <v>203</v>
      </c>
      <c r="B183" s="1" t="s">
        <v>29</v>
      </c>
      <c r="C183" s="1">
        <v>45195.77734</v>
      </c>
      <c r="D183" s="1">
        <v>92.11100006</v>
      </c>
      <c r="E183" s="1" t="s">
        <v>18</v>
      </c>
      <c r="F183" s="1" t="s">
        <v>18</v>
      </c>
      <c r="G183" s="1" t="s">
        <v>18</v>
      </c>
      <c r="H183" s="1" t="s">
        <v>18</v>
      </c>
      <c r="I183" s="1" t="s">
        <v>18</v>
      </c>
      <c r="J183" s="1" t="s">
        <v>18</v>
      </c>
      <c r="K183" s="1" t="s">
        <v>18</v>
      </c>
      <c r="L183" s="1" t="s">
        <v>18</v>
      </c>
      <c r="M183" s="1">
        <v>99.79042065</v>
      </c>
      <c r="N183" s="1">
        <v>0.0</v>
      </c>
      <c r="O183" s="1">
        <v>0.2095793501</v>
      </c>
      <c r="P183" s="1">
        <v>0.0</v>
      </c>
      <c r="Q183" s="2">
        <f t="shared" si="1"/>
        <v>16</v>
      </c>
    </row>
    <row r="184">
      <c r="A184" s="1" t="s">
        <v>204</v>
      </c>
      <c r="B184" s="1" t="s">
        <v>87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1">
        <v>48.23118958</v>
      </c>
      <c r="J184" s="1">
        <v>31.78469426</v>
      </c>
      <c r="K184" s="1">
        <v>14.07616061</v>
      </c>
      <c r="L184" s="1">
        <v>5.907955546</v>
      </c>
      <c r="M184" s="1">
        <v>78.7828518</v>
      </c>
      <c r="N184" s="1">
        <v>13.74416783</v>
      </c>
      <c r="O184" s="1">
        <v>6.421044133</v>
      </c>
      <c r="P184" s="1">
        <v>1.051936238</v>
      </c>
      <c r="Q184" s="2">
        <f t="shared" si="1"/>
        <v>16</v>
      </c>
    </row>
    <row r="185">
      <c r="A185" s="1" t="s">
        <v>205</v>
      </c>
      <c r="B185" s="1" t="s">
        <v>26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1">
        <v>100.0</v>
      </c>
      <c r="J185" s="1">
        <v>0.0</v>
      </c>
      <c r="K185" s="1">
        <v>0.0</v>
      </c>
      <c r="L185" s="1">
        <v>0.0</v>
      </c>
      <c r="M185" s="1">
        <v>99.90794521</v>
      </c>
      <c r="N185" s="1">
        <v>0.0</v>
      </c>
      <c r="O185" s="1">
        <v>0.09205479452</v>
      </c>
      <c r="P185" s="1">
        <v>0.0</v>
      </c>
      <c r="Q185" s="2">
        <f t="shared" si="1"/>
        <v>16</v>
      </c>
    </row>
    <row r="186">
      <c r="A186" s="1" t="s">
        <v>206</v>
      </c>
      <c r="B186" s="1" t="s">
        <v>29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1">
        <v>86.76707282</v>
      </c>
      <c r="J186" s="1">
        <v>0.7312282016</v>
      </c>
      <c r="K186" s="1">
        <v>5.13386897</v>
      </c>
      <c r="L186" s="1">
        <v>7.367830005</v>
      </c>
      <c r="M186" s="1">
        <v>99.9381928</v>
      </c>
      <c r="N186" s="1">
        <v>0.0618072</v>
      </c>
      <c r="O186" s="1">
        <v>0.0</v>
      </c>
      <c r="P186" s="1">
        <v>0.0</v>
      </c>
      <c r="Q186" s="2">
        <f t="shared" si="1"/>
        <v>16</v>
      </c>
    </row>
    <row r="187">
      <c r="A187" s="1" t="s">
        <v>207</v>
      </c>
      <c r="B187" s="1" t="s">
        <v>26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1" t="s">
        <v>18</v>
      </c>
      <c r="J187" s="1" t="s">
        <v>18</v>
      </c>
      <c r="K187" s="1" t="s">
        <v>18</v>
      </c>
      <c r="L187" s="1" t="s">
        <v>18</v>
      </c>
      <c r="M187" s="1" t="s">
        <v>18</v>
      </c>
      <c r="N187" s="1" t="s">
        <v>18</v>
      </c>
      <c r="O187" s="1" t="s">
        <v>18</v>
      </c>
      <c r="P187" s="1" t="s">
        <v>18</v>
      </c>
      <c r="Q187" s="2">
        <f t="shared" si="1"/>
        <v>16</v>
      </c>
    </row>
    <row r="188">
      <c r="A188" s="1" t="s">
        <v>208</v>
      </c>
      <c r="B188" s="1" t="s">
        <v>49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1">
        <v>51.77997893</v>
      </c>
      <c r="J188" s="1">
        <v>11.56900419</v>
      </c>
      <c r="K188" s="1">
        <v>12.51911322</v>
      </c>
      <c r="L188" s="1">
        <v>24.13190366</v>
      </c>
      <c r="M188" s="1">
        <v>86.97523145</v>
      </c>
      <c r="N188" s="1">
        <v>4.327944725</v>
      </c>
      <c r="O188" s="1">
        <v>2.73514263</v>
      </c>
      <c r="P188" s="1">
        <v>5.961681193</v>
      </c>
      <c r="Q188" s="2">
        <f t="shared" si="1"/>
        <v>16</v>
      </c>
    </row>
    <row r="189">
      <c r="A189" s="1" t="s">
        <v>209</v>
      </c>
      <c r="B189" s="1" t="s">
        <v>49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1">
        <v>78.42256469</v>
      </c>
      <c r="J189" s="1">
        <v>2.316962142</v>
      </c>
      <c r="K189" s="1">
        <v>6.592393694</v>
      </c>
      <c r="L189" s="1">
        <v>12.66807947</v>
      </c>
      <c r="M189" s="1">
        <v>95.42788606</v>
      </c>
      <c r="N189" s="1">
        <v>0.0</v>
      </c>
      <c r="O189" s="1">
        <v>1.830283006</v>
      </c>
      <c r="P189" s="1">
        <v>2.741830931</v>
      </c>
      <c r="Q189" s="2">
        <f t="shared" si="1"/>
        <v>16</v>
      </c>
    </row>
    <row r="190">
      <c r="A190" s="1" t="s">
        <v>210</v>
      </c>
      <c r="B190" s="1" t="s">
        <v>29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1">
        <v>83.32948118</v>
      </c>
      <c r="J190" s="1">
        <v>6.977359359</v>
      </c>
      <c r="K190" s="1">
        <v>3.776999287</v>
      </c>
      <c r="L190" s="1">
        <v>5.916160173</v>
      </c>
      <c r="M190" s="1">
        <v>99.00126484</v>
      </c>
      <c r="N190" s="1">
        <v>0.734785403</v>
      </c>
      <c r="O190" s="1">
        <v>0.2639497547</v>
      </c>
      <c r="P190" s="1">
        <v>0.0</v>
      </c>
      <c r="Q190" s="2">
        <f t="shared" si="1"/>
        <v>16</v>
      </c>
    </row>
    <row r="191">
      <c r="A191" s="1" t="s">
        <v>211</v>
      </c>
      <c r="B191" s="1" t="s">
        <v>49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1">
        <v>45.44696534</v>
      </c>
      <c r="J191" s="1">
        <v>13.98368881</v>
      </c>
      <c r="K191" s="1">
        <v>21.21996133</v>
      </c>
      <c r="L191" s="1">
        <v>19.34938452</v>
      </c>
      <c r="M191" s="1">
        <v>88.7939249</v>
      </c>
      <c r="N191" s="1">
        <v>6.337231166</v>
      </c>
      <c r="O191" s="1">
        <v>2.194178786</v>
      </c>
      <c r="P191" s="1">
        <v>2.674665152</v>
      </c>
      <c r="Q191" s="2">
        <f t="shared" si="1"/>
        <v>16</v>
      </c>
    </row>
    <row r="192">
      <c r="A192" s="1" t="s">
        <v>212</v>
      </c>
      <c r="B192" s="1" t="s">
        <v>26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1" t="s">
        <v>18</v>
      </c>
      <c r="J192" s="1" t="s">
        <v>18</v>
      </c>
      <c r="K192" s="1" t="s">
        <v>18</v>
      </c>
      <c r="L192" s="1" t="s">
        <v>18</v>
      </c>
      <c r="M192" s="1" t="s">
        <v>18</v>
      </c>
      <c r="N192" s="1" t="s">
        <v>18</v>
      </c>
      <c r="O192" s="1" t="s">
        <v>18</v>
      </c>
      <c r="P192" s="1" t="s">
        <v>18</v>
      </c>
      <c r="Q192" s="2">
        <f t="shared" si="1"/>
        <v>16</v>
      </c>
    </row>
    <row r="193">
      <c r="A193" s="1" t="s">
        <v>213</v>
      </c>
      <c r="B193" s="1" t="s">
        <v>26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>
        <f t="shared" si="1"/>
        <v>16</v>
      </c>
    </row>
    <row r="194">
      <c r="A194" s="1" t="s">
        <v>214</v>
      </c>
      <c r="B194" s="1" t="s">
        <v>26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  <c r="Q194" s="2">
        <f t="shared" si="1"/>
        <v>16</v>
      </c>
    </row>
    <row r="195">
      <c r="A195" s="1" t="s">
        <v>215</v>
      </c>
      <c r="B195" s="1" t="s">
        <v>29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1">
        <v>100.0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  <c r="Q195" s="2">
        <f t="shared" si="1"/>
        <v>16</v>
      </c>
    </row>
    <row r="196">
      <c r="A196" s="1" t="s">
        <v>216</v>
      </c>
      <c r="B196" s="1" t="s">
        <v>26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1">
        <v>100.0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  <c r="Q196" s="2">
        <f t="shared" si="1"/>
        <v>16</v>
      </c>
    </row>
    <row r="197">
      <c r="A197" s="1" t="s">
        <v>217</v>
      </c>
      <c r="B197" s="1" t="s">
        <v>49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1">
        <v>93.82873538</v>
      </c>
      <c r="J197" s="1">
        <v>4.297948765</v>
      </c>
      <c r="K197" s="1">
        <v>1.602839669</v>
      </c>
      <c r="L197" s="1">
        <v>0.2704761905</v>
      </c>
      <c r="M197" s="1">
        <v>98.64448672</v>
      </c>
      <c r="N197" s="1">
        <v>1.188006671</v>
      </c>
      <c r="O197" s="1">
        <v>0.1675066077</v>
      </c>
      <c r="P197" s="1">
        <v>0.0</v>
      </c>
      <c r="Q197" s="2">
        <f t="shared" si="1"/>
        <v>16</v>
      </c>
    </row>
    <row r="198">
      <c r="A198" s="1" t="s">
        <v>218</v>
      </c>
      <c r="B198" s="1" t="s">
        <v>29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1">
        <v>96.02516977</v>
      </c>
      <c r="J198" s="1">
        <v>2.684574639</v>
      </c>
      <c r="K198" s="1">
        <v>0.7882555911</v>
      </c>
      <c r="L198" s="1">
        <v>0.502</v>
      </c>
      <c r="M198" s="1">
        <v>97.32481783</v>
      </c>
      <c r="N198" s="1">
        <v>1.815385203</v>
      </c>
      <c r="O198" s="1">
        <v>0.7217969634</v>
      </c>
      <c r="P198" s="1">
        <v>0.138</v>
      </c>
      <c r="Q198" s="2">
        <f t="shared" si="1"/>
        <v>16</v>
      </c>
    </row>
    <row r="199">
      <c r="A199" s="1" t="s">
        <v>219</v>
      </c>
      <c r="B199" s="1" t="s">
        <v>49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1">
        <v>21.98279234</v>
      </c>
      <c r="J199" s="1">
        <v>12.68294146</v>
      </c>
      <c r="K199" s="1">
        <v>51.21598167</v>
      </c>
      <c r="L199" s="1">
        <v>14.11828453</v>
      </c>
      <c r="M199" s="1">
        <v>74.50335478</v>
      </c>
      <c r="N199" s="1">
        <v>14.34445818</v>
      </c>
      <c r="O199" s="1">
        <v>10.29905862</v>
      </c>
      <c r="P199" s="1">
        <v>0.8531284131</v>
      </c>
      <c r="Q199" s="2">
        <f t="shared" si="1"/>
        <v>16</v>
      </c>
    </row>
    <row r="200">
      <c r="A200" s="1" t="s">
        <v>220</v>
      </c>
      <c r="B200" s="1" t="s">
        <v>49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1">
        <v>95.51453844</v>
      </c>
      <c r="J200" s="1">
        <v>0.0</v>
      </c>
      <c r="K200" s="1">
        <v>4.48546156</v>
      </c>
      <c r="L200" s="1">
        <v>0.0</v>
      </c>
      <c r="M200" s="1">
        <v>99.18304001</v>
      </c>
      <c r="N200" s="1">
        <v>0.0</v>
      </c>
      <c r="O200" s="1">
        <v>0.816959987</v>
      </c>
      <c r="P200" s="1">
        <v>0.0</v>
      </c>
      <c r="Q200" s="2">
        <f t="shared" si="1"/>
        <v>16</v>
      </c>
    </row>
    <row r="201">
      <c r="A201" s="1" t="s">
        <v>221</v>
      </c>
      <c r="B201" s="1" t="s">
        <v>49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1">
        <v>99.33283515</v>
      </c>
      <c r="J201" s="1">
        <v>0.3359418224</v>
      </c>
      <c r="K201" s="1">
        <v>0.3312230319</v>
      </c>
      <c r="L201" s="1">
        <v>0.0</v>
      </c>
      <c r="M201" s="1">
        <v>99.5837311</v>
      </c>
      <c r="N201" s="1">
        <v>0.1061012067</v>
      </c>
      <c r="O201" s="1">
        <v>0.3101676943</v>
      </c>
      <c r="P201" s="1">
        <v>0.0</v>
      </c>
      <c r="Q201" s="2">
        <f t="shared" si="1"/>
        <v>16</v>
      </c>
    </row>
    <row r="202">
      <c r="A202" s="1" t="s">
        <v>222</v>
      </c>
      <c r="B202" s="1" t="s">
        <v>49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1">
        <v>91.06193322</v>
      </c>
      <c r="J202" s="1">
        <v>3.959520428</v>
      </c>
      <c r="K202" s="1">
        <v>4.978546347</v>
      </c>
      <c r="L202" s="1">
        <v>0.0</v>
      </c>
      <c r="M202" s="1">
        <v>97.4893325</v>
      </c>
      <c r="N202" s="1">
        <v>1.632836465</v>
      </c>
      <c r="O202" s="1">
        <v>0.877831036</v>
      </c>
      <c r="P202" s="1">
        <v>0.0</v>
      </c>
      <c r="Q202" s="2">
        <f t="shared" si="1"/>
        <v>16</v>
      </c>
    </row>
    <row r="203">
      <c r="A203" s="1" t="s">
        <v>223</v>
      </c>
      <c r="B203" s="1" t="s">
        <v>87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1">
        <v>40.03013919</v>
      </c>
      <c r="J203" s="1">
        <v>30.18668334</v>
      </c>
      <c r="K203" s="1">
        <v>23.49561327</v>
      </c>
      <c r="L203" s="1">
        <v>6.287564203</v>
      </c>
      <c r="M203" s="1">
        <v>84.21282816</v>
      </c>
      <c r="N203" s="1">
        <v>14.30300858</v>
      </c>
      <c r="O203" s="1">
        <v>1.091582355</v>
      </c>
      <c r="P203" s="1">
        <v>0.392580896</v>
      </c>
      <c r="Q203" s="2">
        <f t="shared" si="1"/>
        <v>16</v>
      </c>
    </row>
    <row r="204">
      <c r="A204" s="1" t="s">
        <v>224</v>
      </c>
      <c r="B204" s="1" t="s">
        <v>26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1" t="s">
        <v>18</v>
      </c>
      <c r="J204" s="1" t="s">
        <v>18</v>
      </c>
      <c r="K204" s="1" t="s">
        <v>18</v>
      </c>
      <c r="L204" s="1" t="s">
        <v>18</v>
      </c>
      <c r="M204" s="1" t="s">
        <v>18</v>
      </c>
      <c r="N204" s="1" t="s">
        <v>18</v>
      </c>
      <c r="O204" s="1" t="s">
        <v>18</v>
      </c>
      <c r="P204" s="1" t="s">
        <v>18</v>
      </c>
      <c r="Q204" s="2">
        <f t="shared" si="1"/>
        <v>16</v>
      </c>
    </row>
    <row r="205">
      <c r="A205" s="1" t="s">
        <v>225</v>
      </c>
      <c r="B205" s="1" t="s">
        <v>29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1">
        <v>98.33706893</v>
      </c>
      <c r="J205" s="1">
        <v>0.0</v>
      </c>
      <c r="K205" s="1">
        <v>1.662931067</v>
      </c>
      <c r="L205" s="1">
        <v>0.0</v>
      </c>
      <c r="M205" s="1">
        <v>100.0</v>
      </c>
      <c r="N205" s="1">
        <v>0.0</v>
      </c>
      <c r="O205" s="1">
        <v>0.0</v>
      </c>
      <c r="P205" s="1">
        <v>0.0</v>
      </c>
      <c r="Q205" s="2">
        <f t="shared" si="1"/>
        <v>16</v>
      </c>
    </row>
    <row r="206">
      <c r="A206" s="1" t="s">
        <v>226</v>
      </c>
      <c r="B206" s="1" t="s">
        <v>29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18</v>
      </c>
      <c r="I206" s="1">
        <v>91.54410196</v>
      </c>
      <c r="J206" s="1">
        <v>1.583163513</v>
      </c>
      <c r="K206" s="1">
        <v>6.872734531</v>
      </c>
      <c r="L206" s="1" t="s">
        <v>18</v>
      </c>
      <c r="M206" s="1">
        <v>98.83259961</v>
      </c>
      <c r="N206" s="1">
        <v>0.2973899687</v>
      </c>
      <c r="O206" s="1">
        <v>0.6700104236</v>
      </c>
      <c r="P206" s="1">
        <v>0.2</v>
      </c>
      <c r="Q206" s="2">
        <f t="shared" si="1"/>
        <v>16</v>
      </c>
    </row>
    <row r="207">
      <c r="A207" s="1" t="s">
        <v>227</v>
      </c>
      <c r="B207" s="1" t="s">
        <v>49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1">
        <v>97.88023776</v>
      </c>
      <c r="J207" s="1">
        <v>0.8581049804</v>
      </c>
      <c r="K207" s="1">
        <v>0.3164802414</v>
      </c>
      <c r="L207" s="1">
        <v>0.9451770151</v>
      </c>
      <c r="M207" s="1">
        <v>97.40277797</v>
      </c>
      <c r="N207" s="1">
        <v>1.639520121</v>
      </c>
      <c r="O207" s="1">
        <v>0.6993752147</v>
      </c>
      <c r="P207" s="1">
        <v>0.2583266934</v>
      </c>
      <c r="Q207" s="2">
        <f t="shared" si="1"/>
        <v>16</v>
      </c>
    </row>
    <row r="208">
      <c r="A208" s="1" t="s">
        <v>228</v>
      </c>
      <c r="B208" s="1" t="s">
        <v>49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1">
        <v>61.65821003</v>
      </c>
      <c r="J208" s="1">
        <v>7.128924583</v>
      </c>
      <c r="K208" s="1">
        <v>20.92487535</v>
      </c>
      <c r="L208" s="1">
        <v>10.28799004</v>
      </c>
      <c r="M208" s="1">
        <v>92.35770519</v>
      </c>
      <c r="N208" s="1">
        <v>2.99188065</v>
      </c>
      <c r="O208" s="1">
        <v>3.356908786</v>
      </c>
      <c r="P208" s="1">
        <v>1.29350537</v>
      </c>
      <c r="Q208" s="2">
        <f t="shared" si="1"/>
        <v>16</v>
      </c>
    </row>
    <row r="209">
      <c r="A209" s="1" t="s">
        <v>229</v>
      </c>
      <c r="B209" s="1" t="s">
        <v>29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18</v>
      </c>
      <c r="I209" s="1">
        <v>95.94525953</v>
      </c>
      <c r="J209" s="1">
        <v>0.9789509154</v>
      </c>
      <c r="K209" s="1">
        <v>3.075789551</v>
      </c>
      <c r="L209" s="1" t="s">
        <v>18</v>
      </c>
      <c r="M209" s="1">
        <v>99.82200131</v>
      </c>
      <c r="N209" s="1">
        <v>0.0</v>
      </c>
      <c r="O209" s="1">
        <v>0.1779986949</v>
      </c>
      <c r="P209" s="1">
        <v>0.0</v>
      </c>
      <c r="Q209" s="2">
        <f t="shared" si="1"/>
        <v>16</v>
      </c>
    </row>
    <row r="210">
      <c r="A210" s="1" t="s">
        <v>230</v>
      </c>
      <c r="B210" s="1" t="s">
        <v>49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1">
        <v>88.59986076</v>
      </c>
      <c r="J210" s="1">
        <v>3.852278117</v>
      </c>
      <c r="K210" s="1">
        <v>5.174596509</v>
      </c>
      <c r="L210" s="1">
        <v>2.373264617</v>
      </c>
      <c r="M210" s="1">
        <v>92.76804985</v>
      </c>
      <c r="N210" s="1">
        <v>3.771561162</v>
      </c>
      <c r="O210" s="1">
        <v>3.126184571</v>
      </c>
      <c r="P210" s="1">
        <v>0.3342044223</v>
      </c>
      <c r="Q210" s="2">
        <f t="shared" si="1"/>
        <v>16</v>
      </c>
    </row>
    <row r="211">
      <c r="A211" s="1" t="s">
        <v>231</v>
      </c>
      <c r="B211" s="1" t="s">
        <v>49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1">
        <v>85.66796238</v>
      </c>
      <c r="J211" s="1">
        <v>1.17809123</v>
      </c>
      <c r="K211" s="1">
        <v>10.61491462</v>
      </c>
      <c r="L211" s="1">
        <v>2.539031772</v>
      </c>
      <c r="M211" s="1">
        <v>97.58051207</v>
      </c>
      <c r="N211" s="1">
        <v>0.6085098345</v>
      </c>
      <c r="O211" s="1">
        <v>1.679615139</v>
      </c>
      <c r="P211" s="1">
        <v>0.1313629588</v>
      </c>
      <c r="Q211" s="2">
        <f t="shared" si="1"/>
        <v>16</v>
      </c>
    </row>
    <row r="212">
      <c r="A212" s="1" t="s">
        <v>232</v>
      </c>
      <c r="B212" s="1" t="s">
        <v>26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1">
        <v>99.67078734</v>
      </c>
      <c r="J212" s="1">
        <v>0.0</v>
      </c>
      <c r="K212" s="1">
        <v>0.3292126628</v>
      </c>
      <c r="L212" s="1">
        <v>0.0</v>
      </c>
      <c r="M212" s="1">
        <v>99.92814447</v>
      </c>
      <c r="N212" s="1">
        <v>0.0</v>
      </c>
      <c r="O212" s="1">
        <v>0.0718555296</v>
      </c>
      <c r="P212" s="1">
        <v>0.0</v>
      </c>
      <c r="Q212" s="2">
        <f t="shared" si="1"/>
        <v>16</v>
      </c>
    </row>
    <row r="213">
      <c r="A213" s="1" t="s">
        <v>233</v>
      </c>
      <c r="B213" s="1" t="s">
        <v>49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1">
        <v>88.78250313</v>
      </c>
      <c r="J213" s="1">
        <v>5.902210054</v>
      </c>
      <c r="K213" s="1">
        <v>4.57637573</v>
      </c>
      <c r="L213" s="1">
        <v>0.7389110856</v>
      </c>
      <c r="M213" s="1">
        <v>93.6700363</v>
      </c>
      <c r="N213" s="1">
        <v>3.272056027</v>
      </c>
      <c r="O213" s="1">
        <v>2.820607523</v>
      </c>
      <c r="P213" s="1">
        <v>0.2373001538</v>
      </c>
      <c r="Q213" s="2">
        <f t="shared" si="1"/>
        <v>16</v>
      </c>
    </row>
    <row r="214">
      <c r="A214" s="1" t="s">
        <v>234</v>
      </c>
      <c r="B214" s="1" t="s">
        <v>29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0.1987161441</v>
      </c>
      <c r="I214" s="1">
        <v>89.66123351</v>
      </c>
      <c r="J214" s="1">
        <v>1.832679086</v>
      </c>
      <c r="K214" s="1">
        <v>8.506087409</v>
      </c>
      <c r="L214" s="1">
        <v>0.0</v>
      </c>
      <c r="M214" s="1">
        <v>97.11488267</v>
      </c>
      <c r="N214" s="1">
        <v>0.1831784927</v>
      </c>
      <c r="O214" s="1">
        <v>2.37993884</v>
      </c>
      <c r="P214" s="1">
        <v>0.322</v>
      </c>
      <c r="Q214" s="2">
        <f t="shared" si="1"/>
        <v>16</v>
      </c>
    </row>
  </sheetData>
  <autoFilter ref="$A$1:$Q$21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21" max="21" width="18.13"/>
    <col customWidth="1" min="23" max="23" width="18.63"/>
    <col customWidth="1" min="24" max="24" width="17.25"/>
    <col customWidth="1" min="25" max="25" width="17.38"/>
  </cols>
  <sheetData>
    <row r="1">
      <c r="A1" s="3" t="s">
        <v>1</v>
      </c>
      <c r="B1" s="3" t="s">
        <v>2</v>
      </c>
      <c r="C1" s="3" t="s">
        <v>242</v>
      </c>
      <c r="D1" s="3" t="s">
        <v>243</v>
      </c>
      <c r="E1" s="3" t="s">
        <v>3</v>
      </c>
      <c r="F1" s="3" t="s">
        <v>244</v>
      </c>
      <c r="G1" s="3" t="s">
        <v>245</v>
      </c>
      <c r="H1" s="3" t="s">
        <v>4</v>
      </c>
      <c r="I1" s="3" t="s">
        <v>246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235</v>
      </c>
      <c r="W1" s="3" t="s">
        <v>247</v>
      </c>
      <c r="Y1" s="3" t="s">
        <v>248</v>
      </c>
      <c r="AA1" s="3" t="s">
        <v>249</v>
      </c>
    </row>
    <row r="2">
      <c r="A2" s="1" t="s">
        <v>18</v>
      </c>
      <c r="B2" s="1">
        <v>1.350000024</v>
      </c>
      <c r="C2" s="1">
        <f t="shared" ref="C2:C214" si="1">ROUNDUP(B2/1000,0)</f>
        <v>1</v>
      </c>
      <c r="D2" s="1">
        <f t="shared" ref="D2:D214" si="2">B2*1000</f>
        <v>1350.000024</v>
      </c>
      <c r="E2" s="1">
        <v>0.0</v>
      </c>
      <c r="F2" s="1">
        <f t="shared" ref="F2:F214" si="3">E2*D2/100</f>
        <v>0</v>
      </c>
      <c r="G2" s="1">
        <f t="shared" ref="G2:G214" si="4">100-E2</f>
        <v>100</v>
      </c>
      <c r="H2" s="1">
        <v>99.70767665</v>
      </c>
      <c r="I2" s="1">
        <f t="shared" ref="I2:I21" si="5">ROUNDUP(H2,0)</f>
        <v>100</v>
      </c>
      <c r="J2" s="1">
        <v>0.0</v>
      </c>
      <c r="K2" s="1">
        <v>0.2923233459</v>
      </c>
      <c r="L2" s="1">
        <v>0.0</v>
      </c>
      <c r="M2" s="1">
        <v>99.70767665</v>
      </c>
      <c r="N2" s="1">
        <v>0.0</v>
      </c>
      <c r="O2" s="1">
        <v>0.2923233459</v>
      </c>
      <c r="P2" s="1">
        <v>0.0</v>
      </c>
      <c r="Q2" s="1" t="s">
        <v>18</v>
      </c>
      <c r="R2" s="1" t="s">
        <v>18</v>
      </c>
      <c r="S2" s="1" t="s">
        <v>18</v>
      </c>
      <c r="T2" s="1" t="s">
        <v>18</v>
      </c>
      <c r="U2" s="2">
        <f t="shared" ref="U2:U214" si="6">if(A2="NAN",0,if(A2="Low income",1,if(A2="Lower middle income",2,if(A2="Upper middle income",3,if(A2="High income",4)))))</f>
        <v>0</v>
      </c>
      <c r="W2" s="1">
        <v>7.821</v>
      </c>
      <c r="Y2" s="2">
        <f>W2*AA2/100</f>
        <v>4.30155</v>
      </c>
      <c r="AA2" s="1">
        <v>55.0</v>
      </c>
    </row>
    <row r="3">
      <c r="A3" s="1" t="s">
        <v>18</v>
      </c>
      <c r="B3" s="1">
        <v>1.618000031</v>
      </c>
      <c r="C3" s="1">
        <f t="shared" si="1"/>
        <v>1</v>
      </c>
      <c r="D3" s="1">
        <f t="shared" si="2"/>
        <v>1618.000031</v>
      </c>
      <c r="E3" s="1">
        <v>46.20200348</v>
      </c>
      <c r="F3" s="1">
        <f t="shared" si="3"/>
        <v>747.5484306</v>
      </c>
      <c r="G3" s="1">
        <f t="shared" si="4"/>
        <v>53.79799652</v>
      </c>
      <c r="H3" s="1">
        <v>97.01087618</v>
      </c>
      <c r="I3" s="1">
        <f t="shared" si="5"/>
        <v>98</v>
      </c>
      <c r="J3" s="1">
        <v>0.0</v>
      </c>
      <c r="K3" s="1">
        <v>2.989123822</v>
      </c>
      <c r="L3" s="1">
        <v>0.0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18</v>
      </c>
      <c r="T3" s="1" t="s">
        <v>18</v>
      </c>
      <c r="U3" s="2">
        <f t="shared" si="6"/>
        <v>0</v>
      </c>
    </row>
    <row r="4">
      <c r="A4" s="1" t="s">
        <v>18</v>
      </c>
      <c r="B4" s="1">
        <v>3.48300004</v>
      </c>
      <c r="C4" s="1">
        <f t="shared" si="1"/>
        <v>1</v>
      </c>
      <c r="D4" s="1">
        <f t="shared" si="2"/>
        <v>3483.00004</v>
      </c>
      <c r="E4" s="1">
        <v>78.50799561</v>
      </c>
      <c r="F4" s="1">
        <f t="shared" si="3"/>
        <v>2734.433518</v>
      </c>
      <c r="G4" s="1">
        <f t="shared" si="4"/>
        <v>21.49200439</v>
      </c>
      <c r="H4" s="1">
        <v>95.3089274</v>
      </c>
      <c r="I4" s="1">
        <f t="shared" si="5"/>
        <v>96</v>
      </c>
      <c r="J4" s="1">
        <v>0.0</v>
      </c>
      <c r="K4" s="1">
        <v>4.691072596</v>
      </c>
      <c r="L4" s="1">
        <v>0.0</v>
      </c>
      <c r="M4" s="1">
        <v>78.17294282</v>
      </c>
      <c r="N4" s="1">
        <v>0.0</v>
      </c>
      <c r="O4" s="1">
        <v>21.82705718</v>
      </c>
      <c r="P4" s="1">
        <v>0.0</v>
      </c>
      <c r="Q4" s="1">
        <v>100.0</v>
      </c>
      <c r="R4" s="1">
        <v>0.0</v>
      </c>
      <c r="S4" s="1">
        <v>0.0</v>
      </c>
      <c r="T4" s="1">
        <v>0.0</v>
      </c>
      <c r="U4" s="2">
        <f t="shared" si="6"/>
        <v>0</v>
      </c>
      <c r="W4" s="3" t="s">
        <v>250</v>
      </c>
      <c r="Y4" s="3" t="s">
        <v>251</v>
      </c>
      <c r="AA4" s="3" t="s">
        <v>252</v>
      </c>
    </row>
    <row r="5">
      <c r="A5" s="1" t="s">
        <v>18</v>
      </c>
      <c r="B5" s="1">
        <v>4.999000072</v>
      </c>
      <c r="C5" s="1">
        <f t="shared" si="1"/>
        <v>1</v>
      </c>
      <c r="D5" s="1">
        <f t="shared" si="2"/>
        <v>4999.000072</v>
      </c>
      <c r="E5" s="1">
        <v>9.114999771</v>
      </c>
      <c r="F5" s="1">
        <f t="shared" si="3"/>
        <v>455.6588451</v>
      </c>
      <c r="G5" s="1">
        <f t="shared" si="4"/>
        <v>90.88500023</v>
      </c>
      <c r="H5" s="1">
        <v>98.07748262</v>
      </c>
      <c r="I5" s="1">
        <f t="shared" si="5"/>
        <v>99</v>
      </c>
      <c r="J5" s="1">
        <v>0.0</v>
      </c>
      <c r="K5" s="1">
        <v>1.922517378</v>
      </c>
      <c r="L5" s="1">
        <v>0.0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2">
        <f t="shared" si="6"/>
        <v>0</v>
      </c>
      <c r="W5" s="2">
        <f>sum(D2:D214)</f>
        <v>7786695108</v>
      </c>
      <c r="Y5" s="2">
        <f>sum(F2:F214)</f>
        <v>4375308463</v>
      </c>
      <c r="AA5" s="2">
        <f>Y8/W8 * 100</f>
        <v>56.18954386</v>
      </c>
    </row>
    <row r="6">
      <c r="A6" s="1" t="s">
        <v>18</v>
      </c>
      <c r="B6" s="1">
        <v>5.795000076</v>
      </c>
      <c r="C6" s="1">
        <f t="shared" si="1"/>
        <v>1</v>
      </c>
      <c r="D6" s="1">
        <f t="shared" si="2"/>
        <v>5795.000076</v>
      </c>
      <c r="E6" s="1">
        <v>89.96199799</v>
      </c>
      <c r="F6" s="1">
        <f t="shared" si="3"/>
        <v>5213.297852</v>
      </c>
      <c r="G6" s="1">
        <f t="shared" si="4"/>
        <v>10.03800201</v>
      </c>
      <c r="H6" s="1">
        <v>91.4</v>
      </c>
      <c r="I6" s="1">
        <f t="shared" si="5"/>
        <v>92</v>
      </c>
      <c r="J6" s="1">
        <v>0.0</v>
      </c>
      <c r="K6" s="1">
        <v>8.6</v>
      </c>
      <c r="L6" s="1">
        <v>0.0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2">
        <f t="shared" si="6"/>
        <v>0</v>
      </c>
    </row>
    <row r="7">
      <c r="A7" s="1" t="s">
        <v>18</v>
      </c>
      <c r="B7" s="1">
        <v>6.071000099</v>
      </c>
      <c r="C7" s="1">
        <f t="shared" si="1"/>
        <v>1</v>
      </c>
      <c r="D7" s="1">
        <f t="shared" si="2"/>
        <v>6071.000099</v>
      </c>
      <c r="E7" s="1">
        <v>40.08200073</v>
      </c>
      <c r="F7" s="1">
        <f t="shared" si="3"/>
        <v>2433.378304</v>
      </c>
      <c r="G7" s="1">
        <f t="shared" si="4"/>
        <v>59.91799927</v>
      </c>
      <c r="H7" s="1">
        <v>99.1</v>
      </c>
      <c r="I7" s="1">
        <f t="shared" si="5"/>
        <v>100</v>
      </c>
      <c r="J7" s="1">
        <v>0.0</v>
      </c>
      <c r="K7" s="1">
        <v>0.9</v>
      </c>
      <c r="L7" s="1">
        <v>0.0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2">
        <f t="shared" si="6"/>
        <v>0</v>
      </c>
      <c r="W7" s="3" t="s">
        <v>253</v>
      </c>
      <c r="Y7" s="3" t="s">
        <v>254</v>
      </c>
      <c r="AA7" s="3" t="s">
        <v>255</v>
      </c>
    </row>
    <row r="8">
      <c r="A8" s="1" t="s">
        <v>18</v>
      </c>
      <c r="B8" s="1">
        <v>9.885</v>
      </c>
      <c r="C8" s="1">
        <f t="shared" si="1"/>
        <v>1</v>
      </c>
      <c r="D8" s="1">
        <f t="shared" si="2"/>
        <v>9885</v>
      </c>
      <c r="E8" s="1">
        <v>100.0</v>
      </c>
      <c r="F8" s="1">
        <f t="shared" si="3"/>
        <v>9885</v>
      </c>
      <c r="G8" s="1">
        <f t="shared" si="4"/>
        <v>0</v>
      </c>
      <c r="H8" s="1">
        <v>100.0</v>
      </c>
      <c r="I8" s="1">
        <f t="shared" si="5"/>
        <v>100</v>
      </c>
      <c r="J8" s="1">
        <v>0.0</v>
      </c>
      <c r="K8" s="1">
        <v>0.0</v>
      </c>
      <c r="L8" s="1">
        <v>0.0</v>
      </c>
      <c r="M8" s="1" t="s">
        <v>18</v>
      </c>
      <c r="N8" s="1" t="s">
        <v>18</v>
      </c>
      <c r="O8" s="1" t="s">
        <v>18</v>
      </c>
      <c r="P8" s="1" t="s">
        <v>18</v>
      </c>
      <c r="Q8" s="1">
        <v>100.0</v>
      </c>
      <c r="R8" s="1">
        <v>0.0</v>
      </c>
      <c r="S8" s="1">
        <v>0.0</v>
      </c>
      <c r="T8" s="1">
        <v>0.0</v>
      </c>
      <c r="U8" s="2">
        <f t="shared" si="6"/>
        <v>0</v>
      </c>
      <c r="W8" s="2">
        <f>W5/1000000000</f>
        <v>7.786695108</v>
      </c>
      <c r="Y8" s="2">
        <f>Y5/1000000000</f>
        <v>4.375308463</v>
      </c>
      <c r="AA8" s="2">
        <f>abs(AA5-AA2)/((AA5+AA2)/2) * 100</f>
        <v>2.139668561</v>
      </c>
    </row>
    <row r="9">
      <c r="A9" s="1" t="s">
        <v>26</v>
      </c>
      <c r="B9" s="1">
        <v>10.83399963</v>
      </c>
      <c r="C9" s="1">
        <f t="shared" si="1"/>
        <v>1</v>
      </c>
      <c r="D9" s="1">
        <f t="shared" si="2"/>
        <v>10833.99963</v>
      </c>
      <c r="E9" s="1">
        <v>100.0</v>
      </c>
      <c r="F9" s="1">
        <f t="shared" si="3"/>
        <v>10833.99963</v>
      </c>
      <c r="G9" s="1">
        <f t="shared" si="4"/>
        <v>0</v>
      </c>
      <c r="H9" s="1">
        <v>100.0</v>
      </c>
      <c r="I9" s="1">
        <f t="shared" si="5"/>
        <v>100</v>
      </c>
      <c r="J9" s="1">
        <v>0.0</v>
      </c>
      <c r="K9" s="1">
        <v>0.0</v>
      </c>
      <c r="L9" s="1">
        <v>0.0</v>
      </c>
      <c r="M9" s="1" t="s">
        <v>18</v>
      </c>
      <c r="N9" s="1" t="s">
        <v>18</v>
      </c>
      <c r="O9" s="1" t="s">
        <v>18</v>
      </c>
      <c r="P9" s="1" t="s">
        <v>18</v>
      </c>
      <c r="Q9" s="1">
        <v>100.0</v>
      </c>
      <c r="R9" s="1">
        <v>0.0</v>
      </c>
      <c r="S9" s="1">
        <v>0.0</v>
      </c>
      <c r="T9" s="1">
        <v>0.0</v>
      </c>
      <c r="U9" s="2">
        <f t="shared" si="6"/>
        <v>4</v>
      </c>
    </row>
    <row r="10">
      <c r="A10" s="1" t="s">
        <v>18</v>
      </c>
      <c r="B10" s="1">
        <v>11.24600029</v>
      </c>
      <c r="C10" s="1">
        <f t="shared" si="1"/>
        <v>1</v>
      </c>
      <c r="D10" s="1">
        <f t="shared" si="2"/>
        <v>11246.00029</v>
      </c>
      <c r="E10" s="1">
        <v>0.0</v>
      </c>
      <c r="F10" s="1">
        <f t="shared" si="3"/>
        <v>0</v>
      </c>
      <c r="G10" s="1">
        <f t="shared" si="4"/>
        <v>100</v>
      </c>
      <c r="H10" s="1">
        <v>99.14328736</v>
      </c>
      <c r="I10" s="1">
        <f t="shared" si="5"/>
        <v>100</v>
      </c>
      <c r="J10" s="1">
        <v>0.0</v>
      </c>
      <c r="K10" s="1">
        <v>0.856712639</v>
      </c>
      <c r="L10" s="1">
        <v>0.0</v>
      </c>
      <c r="M10" s="1">
        <v>99.14328736</v>
      </c>
      <c r="N10" s="1">
        <v>0.0</v>
      </c>
      <c r="O10" s="1">
        <v>0.856712639</v>
      </c>
      <c r="P10" s="1">
        <v>0.0</v>
      </c>
      <c r="Q10" s="1" t="s">
        <v>18</v>
      </c>
      <c r="R10" s="1" t="s">
        <v>18</v>
      </c>
      <c r="S10" s="1" t="s">
        <v>18</v>
      </c>
      <c r="T10" s="1" t="s">
        <v>18</v>
      </c>
      <c r="U10" s="2">
        <f t="shared" si="6"/>
        <v>0</v>
      </c>
      <c r="W10" s="3" t="s">
        <v>255</v>
      </c>
      <c r="Y10" s="3" t="s">
        <v>255</v>
      </c>
    </row>
    <row r="11">
      <c r="A11" s="1" t="s">
        <v>29</v>
      </c>
      <c r="B11" s="1">
        <v>11.79199982</v>
      </c>
      <c r="C11" s="1">
        <f t="shared" si="1"/>
        <v>1</v>
      </c>
      <c r="D11" s="1">
        <f t="shared" si="2"/>
        <v>11791.99982</v>
      </c>
      <c r="E11" s="1">
        <v>64.01399994</v>
      </c>
      <c r="F11" s="1">
        <f t="shared" si="3"/>
        <v>7548.530758</v>
      </c>
      <c r="G11" s="1">
        <f t="shared" si="4"/>
        <v>35.98600006</v>
      </c>
      <c r="H11" s="1">
        <v>100.0</v>
      </c>
      <c r="I11" s="1">
        <f t="shared" si="5"/>
        <v>100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1">
        <v>100.0</v>
      </c>
      <c r="R11" s="1">
        <v>0.0</v>
      </c>
      <c r="S11" s="1">
        <v>0.0</v>
      </c>
      <c r="T11" s="1">
        <v>0.0</v>
      </c>
      <c r="U11" s="2">
        <f t="shared" si="6"/>
        <v>3</v>
      </c>
      <c r="W11" s="2">
        <f>ABS(W2-W8)/((W2+W8)/2) * 100</f>
        <v>0.4395894719</v>
      </c>
      <c r="Y11" s="2">
        <f>ABS(Y8-Y2)/((Y8+Y2)/2) * 100</f>
        <v>1.700119067</v>
      </c>
    </row>
    <row r="12">
      <c r="A12" s="1" t="s">
        <v>18</v>
      </c>
      <c r="B12" s="1">
        <v>17.56399918</v>
      </c>
      <c r="C12" s="1">
        <f t="shared" si="1"/>
        <v>1</v>
      </c>
      <c r="D12" s="1">
        <f t="shared" si="2"/>
        <v>17563.99918</v>
      </c>
      <c r="E12" s="1">
        <v>75.49500275</v>
      </c>
      <c r="F12" s="1">
        <f t="shared" si="3"/>
        <v>13259.94166</v>
      </c>
      <c r="G12" s="1">
        <f t="shared" si="4"/>
        <v>24.50499725</v>
      </c>
      <c r="H12" s="1">
        <v>99.97161022</v>
      </c>
      <c r="I12" s="1">
        <f t="shared" si="5"/>
        <v>100</v>
      </c>
      <c r="J12" s="1">
        <v>0.0</v>
      </c>
      <c r="K12" s="1">
        <v>0.0283897827</v>
      </c>
      <c r="L12" s="1">
        <v>0.0</v>
      </c>
      <c r="M12" s="1" t="s">
        <v>18</v>
      </c>
      <c r="N12" s="1" t="s">
        <v>18</v>
      </c>
      <c r="O12" s="1" t="s">
        <v>18</v>
      </c>
      <c r="P12" s="1" t="s">
        <v>18</v>
      </c>
      <c r="Q12" s="1" t="s">
        <v>18</v>
      </c>
      <c r="R12" s="1" t="s">
        <v>18</v>
      </c>
      <c r="S12" s="1" t="s">
        <v>18</v>
      </c>
      <c r="T12" s="1" t="s">
        <v>18</v>
      </c>
      <c r="U12" s="2">
        <f t="shared" si="6"/>
        <v>0</v>
      </c>
    </row>
    <row r="13">
      <c r="A13" s="1" t="s">
        <v>29</v>
      </c>
      <c r="B13" s="1">
        <v>18.09199905</v>
      </c>
      <c r="C13" s="1">
        <f t="shared" si="1"/>
        <v>1</v>
      </c>
      <c r="D13" s="1">
        <f t="shared" si="2"/>
        <v>18091.99905</v>
      </c>
      <c r="E13" s="1">
        <v>80.98799896</v>
      </c>
      <c r="F13" s="1">
        <f t="shared" si="3"/>
        <v>14652.348</v>
      </c>
      <c r="G13" s="1">
        <f t="shared" si="4"/>
        <v>19.01200104</v>
      </c>
      <c r="H13" s="1">
        <v>99.6575455</v>
      </c>
      <c r="I13" s="1">
        <f t="shared" si="5"/>
        <v>100</v>
      </c>
      <c r="J13" s="1">
        <v>0.0</v>
      </c>
      <c r="K13" s="1">
        <v>0.3424544984</v>
      </c>
      <c r="L13" s="1">
        <v>0.0</v>
      </c>
      <c r="M13" s="1">
        <v>99.75698503</v>
      </c>
      <c r="N13" s="1">
        <v>0.0</v>
      </c>
      <c r="O13" s="1">
        <v>0.2430149677</v>
      </c>
      <c r="P13" s="1">
        <v>0.0</v>
      </c>
      <c r="Q13" s="1">
        <v>99.63420199</v>
      </c>
      <c r="R13" s="1">
        <v>0.0</v>
      </c>
      <c r="S13" s="1">
        <v>0.3657980078</v>
      </c>
      <c r="T13" s="1">
        <v>0.0</v>
      </c>
      <c r="U13" s="2">
        <f t="shared" si="6"/>
        <v>3</v>
      </c>
    </row>
    <row r="14">
      <c r="A14" s="1" t="s">
        <v>26</v>
      </c>
      <c r="B14" s="1">
        <v>30.23699951</v>
      </c>
      <c r="C14" s="1">
        <f t="shared" si="1"/>
        <v>1</v>
      </c>
      <c r="D14" s="1">
        <f t="shared" si="2"/>
        <v>30236.99951</v>
      </c>
      <c r="E14" s="1">
        <v>48.51499939</v>
      </c>
      <c r="F14" s="1">
        <f t="shared" si="3"/>
        <v>14669.48013</v>
      </c>
      <c r="G14" s="1">
        <f t="shared" si="4"/>
        <v>51.48500061</v>
      </c>
      <c r="H14" s="1">
        <v>99.86438356</v>
      </c>
      <c r="I14" s="1">
        <f t="shared" si="5"/>
        <v>100</v>
      </c>
      <c r="J14" s="1">
        <v>0.0</v>
      </c>
      <c r="K14" s="1">
        <v>0.1356164384</v>
      </c>
      <c r="L14" s="1">
        <v>0.0</v>
      </c>
      <c r="M14" s="1" t="s">
        <v>18</v>
      </c>
      <c r="N14" s="1" t="s">
        <v>18</v>
      </c>
      <c r="O14" s="1" t="s">
        <v>18</v>
      </c>
      <c r="P14" s="1" t="s">
        <v>18</v>
      </c>
      <c r="Q14" s="1" t="s">
        <v>18</v>
      </c>
      <c r="R14" s="1" t="s">
        <v>18</v>
      </c>
      <c r="S14" s="1" t="s">
        <v>18</v>
      </c>
      <c r="T14" s="1" t="s">
        <v>18</v>
      </c>
      <c r="U14" s="2">
        <f t="shared" si="6"/>
        <v>4</v>
      </c>
      <c r="X14" s="3" t="s">
        <v>256</v>
      </c>
      <c r="Y14" s="3" t="s">
        <v>257</v>
      </c>
      <c r="Z14" s="3" t="s">
        <v>258</v>
      </c>
      <c r="AA14" s="3" t="s">
        <v>259</v>
      </c>
      <c r="AB14" s="3" t="s">
        <v>260</v>
      </c>
      <c r="AC14" s="3" t="s">
        <v>261</v>
      </c>
      <c r="AD14" s="3" t="s">
        <v>262</v>
      </c>
      <c r="AE14" s="3" t="s">
        <v>263</v>
      </c>
      <c r="AF14" s="3" t="s">
        <v>264</v>
      </c>
      <c r="AG14" s="3" t="s">
        <v>265</v>
      </c>
      <c r="AH14" s="1"/>
      <c r="AI14" s="1"/>
    </row>
    <row r="15">
      <c r="A15" s="1" t="s">
        <v>26</v>
      </c>
      <c r="B15" s="1">
        <v>33.69100189</v>
      </c>
      <c r="C15" s="1">
        <f t="shared" si="1"/>
        <v>1</v>
      </c>
      <c r="D15" s="1">
        <f t="shared" si="2"/>
        <v>33691.00189</v>
      </c>
      <c r="E15" s="1">
        <v>100.0</v>
      </c>
      <c r="F15" s="1">
        <f t="shared" si="3"/>
        <v>33691.00189</v>
      </c>
      <c r="G15" s="1">
        <f t="shared" si="4"/>
        <v>0</v>
      </c>
      <c r="H15" s="1">
        <v>100.0</v>
      </c>
      <c r="I15" s="1">
        <f t="shared" si="5"/>
        <v>100</v>
      </c>
      <c r="J15" s="1">
        <v>0.0</v>
      </c>
      <c r="K15" s="1">
        <v>0.0</v>
      </c>
      <c r="L15" s="1">
        <v>0.0</v>
      </c>
      <c r="M15" s="1" t="s">
        <v>18</v>
      </c>
      <c r="N15" s="1" t="s">
        <v>18</v>
      </c>
      <c r="O15" s="1" t="s">
        <v>18</v>
      </c>
      <c r="P15" s="1" t="s">
        <v>18</v>
      </c>
      <c r="Q15" s="1">
        <v>100.0</v>
      </c>
      <c r="R15" s="1">
        <v>0.0</v>
      </c>
      <c r="S15" s="1">
        <v>0.0</v>
      </c>
      <c r="T15" s="1">
        <v>0.0</v>
      </c>
      <c r="U15" s="2">
        <f t="shared" si="6"/>
        <v>4</v>
      </c>
      <c r="W15" s="3" t="s">
        <v>266</v>
      </c>
      <c r="X15" s="2">
        <f>mode($H$2:$H$214)</f>
        <v>100</v>
      </c>
      <c r="Y15" s="2">
        <f>MAX($H$2:$H$214)</f>
        <v>100.0000037</v>
      </c>
      <c r="Z15" s="2">
        <f>MIN($H$2:$H$214)</f>
        <v>37.20240205</v>
      </c>
      <c r="AA15" s="2">
        <f t="shared" ref="AA15:AA26" si="7">Y15-Z15</f>
        <v>62.79760165</v>
      </c>
      <c r="AB15" s="2">
        <f>AVERAGE($H$2:$H$214)</f>
        <v>89.86478253</v>
      </c>
      <c r="AC15" s="2">
        <f>MEDIAN($H$2:$H$214)</f>
        <v>97.3481397</v>
      </c>
      <c r="AD15" s="2">
        <f>QUARTILE($H$2:$H$214,1)</f>
        <v>85.64331096</v>
      </c>
      <c r="AE15" s="2">
        <f>QUARTILE($H$2:$H$214,2)</f>
        <v>97.3481397</v>
      </c>
      <c r="AF15" s="2">
        <f>QUARTILE($H$2:$H$214,3)</f>
        <v>99.88752524</v>
      </c>
      <c r="AG15" s="2">
        <f t="shared" ref="AG15:AG26" si="8">AF15-AD15</f>
        <v>14.24421428</v>
      </c>
    </row>
    <row r="16">
      <c r="A16" s="1" t="s">
        <v>26</v>
      </c>
      <c r="B16" s="1">
        <v>33.93799973</v>
      </c>
      <c r="C16" s="1">
        <f t="shared" si="1"/>
        <v>1</v>
      </c>
      <c r="D16" s="1">
        <f t="shared" si="2"/>
        <v>33937.99973</v>
      </c>
      <c r="E16" s="1">
        <v>97.49900055</v>
      </c>
      <c r="F16" s="1">
        <f t="shared" si="3"/>
        <v>33089.21054</v>
      </c>
      <c r="G16" s="1">
        <f t="shared" si="4"/>
        <v>2.50099945</v>
      </c>
      <c r="H16" s="1">
        <v>100.0</v>
      </c>
      <c r="I16" s="1">
        <f t="shared" si="5"/>
        <v>100</v>
      </c>
      <c r="J16" s="1">
        <v>0.0</v>
      </c>
      <c r="K16" s="1">
        <v>0.0</v>
      </c>
      <c r="L16" s="1">
        <v>0.0</v>
      </c>
      <c r="M16" s="1" t="s">
        <v>18</v>
      </c>
      <c r="N16" s="1" t="s">
        <v>18</v>
      </c>
      <c r="O16" s="1" t="s">
        <v>18</v>
      </c>
      <c r="P16" s="1" t="s">
        <v>18</v>
      </c>
      <c r="Q16" s="1" t="s">
        <v>18</v>
      </c>
      <c r="R16" s="1" t="s">
        <v>18</v>
      </c>
      <c r="S16" s="1" t="s">
        <v>18</v>
      </c>
      <c r="T16" s="1" t="s">
        <v>18</v>
      </c>
      <c r="U16" s="2">
        <f t="shared" si="6"/>
        <v>4</v>
      </c>
      <c r="W16" s="3" t="s">
        <v>267</v>
      </c>
      <c r="X16" s="2">
        <f>mode($J$2:$J$214)</f>
        <v>0</v>
      </c>
      <c r="Y16" s="2">
        <f>MAX($J$2:$J$214)</f>
        <v>37.42696287</v>
      </c>
      <c r="Z16" s="2">
        <f>MIN($J$2:$J$214)</f>
        <v>0</v>
      </c>
      <c r="AA16" s="2">
        <f t="shared" si="7"/>
        <v>37.42696287</v>
      </c>
      <c r="AB16" s="2">
        <f>AVERAGE($J$2:$J$214)</f>
        <v>3.865265345</v>
      </c>
      <c r="AC16" s="2">
        <f>MEDIAN($J$2:$J$214)</f>
        <v>0.4707829181</v>
      </c>
      <c r="AD16" s="2">
        <f>QUARTILE($J$2:$J$214,1)</f>
        <v>0</v>
      </c>
      <c r="AE16" s="2">
        <f>QUARTILE($J$2:$J$214,2)</f>
        <v>0.4707829181</v>
      </c>
      <c r="AF16" s="2">
        <f>QUARTILE($J$2:$J$214,3)</f>
        <v>4.851219157</v>
      </c>
      <c r="AG16" s="2">
        <f t="shared" si="8"/>
        <v>4.851219157</v>
      </c>
    </row>
    <row r="17">
      <c r="A17" s="1" t="s">
        <v>26</v>
      </c>
      <c r="B17" s="1">
        <v>38.13700104</v>
      </c>
      <c r="C17" s="1">
        <f t="shared" si="1"/>
        <v>1</v>
      </c>
      <c r="D17" s="1">
        <f t="shared" si="2"/>
        <v>38137.00104</v>
      </c>
      <c r="E17" s="1">
        <v>14.41600037</v>
      </c>
      <c r="F17" s="1">
        <f t="shared" si="3"/>
        <v>5497.830211</v>
      </c>
      <c r="G17" s="1">
        <f t="shared" si="4"/>
        <v>85.58399963</v>
      </c>
      <c r="H17" s="1">
        <v>100.0</v>
      </c>
      <c r="I17" s="1">
        <f t="shared" si="5"/>
        <v>100</v>
      </c>
      <c r="J17" s="1">
        <v>0.0</v>
      </c>
      <c r="K17" s="1">
        <v>0.0</v>
      </c>
      <c r="L17" s="1">
        <v>0.0</v>
      </c>
      <c r="M17" s="1" t="s">
        <v>18</v>
      </c>
      <c r="N17" s="1" t="s">
        <v>18</v>
      </c>
      <c r="O17" s="1" t="s">
        <v>18</v>
      </c>
      <c r="P17" s="1" t="s">
        <v>18</v>
      </c>
      <c r="Q17" s="1" t="s">
        <v>18</v>
      </c>
      <c r="R17" s="1" t="s">
        <v>18</v>
      </c>
      <c r="S17" s="1" t="s">
        <v>18</v>
      </c>
      <c r="T17" s="1" t="s">
        <v>18</v>
      </c>
      <c r="U17" s="2">
        <f t="shared" si="6"/>
        <v>4</v>
      </c>
      <c r="W17" s="3" t="s">
        <v>268</v>
      </c>
      <c r="X17" s="2">
        <f>mode($K$2:$K$214)</f>
        <v>0</v>
      </c>
      <c r="Y17" s="2">
        <f>MAX($K$2:$K$214)</f>
        <v>33.53911377</v>
      </c>
      <c r="Z17" s="2">
        <f>MIN($K$2:$K$214)</f>
        <v>0</v>
      </c>
      <c r="AA17" s="2">
        <f t="shared" si="7"/>
        <v>33.53911377</v>
      </c>
      <c r="AB17" s="2">
        <f>AVERAGE($K$2:$K$214)</f>
        <v>4.418010654</v>
      </c>
      <c r="AC17" s="2">
        <f>MEDIAN($K$2:$K$214)</f>
        <v>0.8536474704</v>
      </c>
      <c r="AD17" s="2">
        <f>QUARTILE($K$2:$K$214,1)</f>
        <v>0.03390622265</v>
      </c>
      <c r="AE17" s="2">
        <f>QUARTILE($K$2:$K$214,2)</f>
        <v>0.8536474704</v>
      </c>
      <c r="AF17" s="2">
        <f>QUARTILE($K$2:$K$214,3)</f>
        <v>5.279309922</v>
      </c>
      <c r="AG17" s="2">
        <f t="shared" si="8"/>
        <v>5.245403699</v>
      </c>
    </row>
    <row r="18">
      <c r="A18" s="1" t="s">
        <v>26</v>
      </c>
      <c r="B18" s="1">
        <v>38.659</v>
      </c>
      <c r="C18" s="1">
        <f t="shared" si="1"/>
        <v>1</v>
      </c>
      <c r="D18" s="1">
        <f t="shared" si="2"/>
        <v>38659</v>
      </c>
      <c r="E18" s="1">
        <v>100.0</v>
      </c>
      <c r="F18" s="1">
        <f t="shared" si="3"/>
        <v>38659</v>
      </c>
      <c r="G18" s="1">
        <f t="shared" si="4"/>
        <v>0</v>
      </c>
      <c r="H18" s="1">
        <v>99.99927139</v>
      </c>
      <c r="I18" s="1">
        <f t="shared" si="5"/>
        <v>100</v>
      </c>
      <c r="J18" s="1">
        <v>0.0</v>
      </c>
      <c r="K18" s="1">
        <v>7.286105507E-4</v>
      </c>
      <c r="L18" s="1">
        <v>0.0</v>
      </c>
      <c r="M18" s="1" t="s">
        <v>18</v>
      </c>
      <c r="N18" s="1" t="s">
        <v>18</v>
      </c>
      <c r="O18" s="1" t="s">
        <v>18</v>
      </c>
      <c r="P18" s="1" t="s">
        <v>18</v>
      </c>
      <c r="Q18" s="1">
        <v>99.99927139</v>
      </c>
      <c r="R18" s="1">
        <v>0.0</v>
      </c>
      <c r="S18" s="1">
        <v>7.286105507E-4</v>
      </c>
      <c r="T18" s="1">
        <v>0.0</v>
      </c>
      <c r="U18" s="2">
        <f t="shared" si="6"/>
        <v>4</v>
      </c>
      <c r="W18" s="3" t="s">
        <v>269</v>
      </c>
      <c r="X18" s="2">
        <f>mode($L$2:$L$214)</f>
        <v>0</v>
      </c>
      <c r="Y18" s="2">
        <f>MAX($L$2:$L$214)</f>
        <v>30.36979308</v>
      </c>
      <c r="Z18" s="2">
        <f>MIN($L$2:$L$214)</f>
        <v>0</v>
      </c>
      <c r="AA18" s="2">
        <f t="shared" si="7"/>
        <v>30.36979308</v>
      </c>
      <c r="AB18" s="2">
        <f>AVERAGE($L$2:$L$214)</f>
        <v>1.915488584</v>
      </c>
      <c r="AC18" s="2">
        <f>MEDIAN($L$2:$L$214)</f>
        <v>0</v>
      </c>
      <c r="AD18" s="2">
        <f>QUARTILE($L$2:$L$214,1)</f>
        <v>0</v>
      </c>
      <c r="AE18" s="2">
        <f>QUARTILE($L$2:$L$214,2)</f>
        <v>0</v>
      </c>
      <c r="AF18" s="2">
        <f>QUARTILE($L$2:$L$214,3)</f>
        <v>1.878301993</v>
      </c>
      <c r="AG18" s="2">
        <f t="shared" si="8"/>
        <v>1.878301993</v>
      </c>
    </row>
    <row r="19">
      <c r="A19" s="1" t="s">
        <v>26</v>
      </c>
      <c r="B19" s="1">
        <v>39.24399948</v>
      </c>
      <c r="C19" s="1">
        <f t="shared" si="1"/>
        <v>1</v>
      </c>
      <c r="D19" s="1">
        <f t="shared" si="2"/>
        <v>39243.99948</v>
      </c>
      <c r="E19" s="1">
        <v>100.0</v>
      </c>
      <c r="F19" s="1">
        <f t="shared" si="3"/>
        <v>39243.99948</v>
      </c>
      <c r="G19" s="1">
        <f t="shared" si="4"/>
        <v>0</v>
      </c>
      <c r="H19" s="1">
        <v>100.0</v>
      </c>
      <c r="I19" s="1">
        <f t="shared" si="5"/>
        <v>100</v>
      </c>
      <c r="J19" s="1">
        <v>0.0</v>
      </c>
      <c r="K19" s="1">
        <v>0.0</v>
      </c>
      <c r="L19" s="1">
        <v>0.0</v>
      </c>
      <c r="M19" s="1" t="s">
        <v>18</v>
      </c>
      <c r="N19" s="1" t="s">
        <v>18</v>
      </c>
      <c r="O19" s="1" t="s">
        <v>18</v>
      </c>
      <c r="P19" s="1" t="s">
        <v>18</v>
      </c>
      <c r="Q19" s="1">
        <v>100.0</v>
      </c>
      <c r="R19" s="1">
        <v>0.0</v>
      </c>
      <c r="S19" s="1">
        <v>0.0</v>
      </c>
      <c r="T19" s="1">
        <v>0.0</v>
      </c>
      <c r="U19" s="2">
        <f t="shared" si="6"/>
        <v>4</v>
      </c>
      <c r="W19" s="3" t="s">
        <v>266</v>
      </c>
      <c r="X19" s="2">
        <f>mode($M$2:$M$214)</f>
        <v>100</v>
      </c>
      <c r="Y19" s="2">
        <f>MAX($M$2:$M$214)</f>
        <v>100</v>
      </c>
      <c r="Z19" s="2">
        <f>MIN($M$2:$M$214)</f>
        <v>21.98279234</v>
      </c>
      <c r="AA19" s="2">
        <f t="shared" si="7"/>
        <v>78.01720766</v>
      </c>
      <c r="AB19" s="2">
        <f>AVERAGE($M$2:$M$214)</f>
        <v>81.33591803</v>
      </c>
      <c r="AC19" s="2">
        <f>MEDIAN($M$2:$M$214)</f>
        <v>90.73161683</v>
      </c>
      <c r="AD19" s="2">
        <f>QUARTILE($M$2:$M$214,1)</f>
        <v>64.8254211</v>
      </c>
      <c r="AE19" s="2">
        <f>QUARTILE($M$2:$M$214,2)</f>
        <v>90.73161683</v>
      </c>
      <c r="AF19" s="2">
        <f>QUARTILE($M$2:$M$214,3)</f>
        <v>99.11924249</v>
      </c>
      <c r="AG19" s="2">
        <f t="shared" si="8"/>
        <v>34.29382139</v>
      </c>
    </row>
    <row r="20">
      <c r="A20" s="1" t="s">
        <v>26</v>
      </c>
      <c r="B20" s="1">
        <v>48.86500168</v>
      </c>
      <c r="C20" s="1">
        <f t="shared" si="1"/>
        <v>1</v>
      </c>
      <c r="D20" s="1">
        <f t="shared" si="2"/>
        <v>48865.00168</v>
      </c>
      <c r="E20" s="1">
        <v>42.39799881</v>
      </c>
      <c r="F20" s="1">
        <f t="shared" si="3"/>
        <v>20717.78283</v>
      </c>
      <c r="G20" s="1">
        <f t="shared" si="4"/>
        <v>57.60200119</v>
      </c>
      <c r="H20" s="1">
        <v>100.0</v>
      </c>
      <c r="I20" s="1">
        <f t="shared" si="5"/>
        <v>100</v>
      </c>
      <c r="J20" s="1">
        <v>0.0</v>
      </c>
      <c r="K20" s="1">
        <v>0.0</v>
      </c>
      <c r="L20" s="1">
        <v>0.0</v>
      </c>
      <c r="M20" s="1" t="s">
        <v>18</v>
      </c>
      <c r="N20" s="1" t="s">
        <v>18</v>
      </c>
      <c r="O20" s="1" t="s">
        <v>18</v>
      </c>
      <c r="P20" s="1" t="s">
        <v>18</v>
      </c>
      <c r="Q20" s="1" t="s">
        <v>18</v>
      </c>
      <c r="R20" s="1" t="s">
        <v>18</v>
      </c>
      <c r="S20" s="1" t="s">
        <v>18</v>
      </c>
      <c r="T20" s="1" t="s">
        <v>18</v>
      </c>
      <c r="U20" s="2">
        <f t="shared" si="6"/>
        <v>4</v>
      </c>
      <c r="W20" s="3" t="s">
        <v>267</v>
      </c>
      <c r="X20" s="2">
        <f>mode($N$2:$N$214)</f>
        <v>0</v>
      </c>
      <c r="Y20" s="2">
        <f>MAX($N$2:$N$214)</f>
        <v>42.16438068</v>
      </c>
      <c r="Z20" s="2">
        <f>MIN($N$2:$N$214)</f>
        <v>0</v>
      </c>
      <c r="AA20" s="2">
        <f t="shared" si="7"/>
        <v>42.16438068</v>
      </c>
      <c r="AB20" s="2">
        <f>AVERAGE($N$2:$N$214)</f>
        <v>5.836562548</v>
      </c>
      <c r="AC20" s="2">
        <f>MEDIAN($N$2:$N$214)</f>
        <v>1.812330835</v>
      </c>
      <c r="AD20" s="2">
        <f>QUARTILE($N$2:$N$214,1)</f>
        <v>0</v>
      </c>
      <c r="AE20" s="2">
        <f>QUARTILE($N$2:$N$214,2)</f>
        <v>1.812330835</v>
      </c>
      <c r="AF20" s="2">
        <f>QUARTILE($N$2:$N$214,3)</f>
        <v>8.553175126</v>
      </c>
      <c r="AG20" s="2">
        <f t="shared" si="8"/>
        <v>8.553175126</v>
      </c>
    </row>
    <row r="21">
      <c r="A21" s="1" t="s">
        <v>29</v>
      </c>
      <c r="B21" s="1">
        <v>55.1969986</v>
      </c>
      <c r="C21" s="1">
        <f t="shared" si="1"/>
        <v>1</v>
      </c>
      <c r="D21" s="1">
        <f t="shared" si="2"/>
        <v>55196.9986</v>
      </c>
      <c r="E21" s="1">
        <v>87.15299988</v>
      </c>
      <c r="F21" s="1">
        <f t="shared" si="3"/>
        <v>48105.84012</v>
      </c>
      <c r="G21" s="1">
        <f t="shared" si="4"/>
        <v>12.84700012</v>
      </c>
      <c r="H21" s="1">
        <v>99.77377166</v>
      </c>
      <c r="I21" s="1">
        <f t="shared" si="5"/>
        <v>100</v>
      </c>
      <c r="J21" s="1">
        <v>0.0</v>
      </c>
      <c r="K21" s="1">
        <v>0.2262283415</v>
      </c>
      <c r="L21" s="1">
        <v>0.0</v>
      </c>
      <c r="M21" s="1" t="s">
        <v>18</v>
      </c>
      <c r="N21" s="1" t="s">
        <v>18</v>
      </c>
      <c r="O21" s="1" t="s">
        <v>18</v>
      </c>
      <c r="P21" s="1" t="s">
        <v>18</v>
      </c>
      <c r="Q21" s="1" t="s">
        <v>18</v>
      </c>
      <c r="R21" s="1" t="s">
        <v>18</v>
      </c>
      <c r="S21" s="1" t="s">
        <v>18</v>
      </c>
      <c r="T21" s="1" t="s">
        <v>18</v>
      </c>
      <c r="U21" s="2">
        <f t="shared" si="6"/>
        <v>3</v>
      </c>
      <c r="W21" s="3" t="s">
        <v>268</v>
      </c>
      <c r="X21" s="2">
        <f>mode($O$2:$O$214)</f>
        <v>0</v>
      </c>
      <c r="Y21" s="2">
        <f>MAX($O$2:$O$214)</f>
        <v>51.21598167</v>
      </c>
      <c r="Z21" s="2">
        <f>MIN($O$2:$O$214)</f>
        <v>0</v>
      </c>
      <c r="AA21" s="2">
        <f t="shared" si="7"/>
        <v>51.21598167</v>
      </c>
      <c r="AB21" s="2">
        <f>AVERAGE($O$2:$O$214)</f>
        <v>8.732261484</v>
      </c>
      <c r="AC21" s="2">
        <f>MEDIAN($O$2:$O$214)</f>
        <v>3.229749713</v>
      </c>
      <c r="AD21" s="2">
        <f>QUARTILE($O$2:$O$214,1)</f>
        <v>0.1584109169</v>
      </c>
      <c r="AE21" s="2">
        <f>QUARTILE($O$2:$O$214,2)</f>
        <v>3.229749713</v>
      </c>
      <c r="AF21" s="2">
        <f>QUARTILE($O$2:$O$214,3)</f>
        <v>13.2663393</v>
      </c>
      <c r="AG21" s="2">
        <f t="shared" si="8"/>
        <v>13.10792838</v>
      </c>
    </row>
    <row r="22">
      <c r="A22" s="1" t="s">
        <v>26</v>
      </c>
      <c r="B22" s="1">
        <v>56.77199936</v>
      </c>
      <c r="C22" s="1">
        <f t="shared" si="1"/>
        <v>1</v>
      </c>
      <c r="D22" s="1">
        <f t="shared" si="2"/>
        <v>56771.99936</v>
      </c>
      <c r="E22" s="1">
        <v>87.28200531</v>
      </c>
      <c r="F22" s="1">
        <f t="shared" si="3"/>
        <v>49551.7395</v>
      </c>
      <c r="G22" s="1">
        <f t="shared" si="4"/>
        <v>12.71799469</v>
      </c>
      <c r="H22" s="1">
        <v>100.0000017</v>
      </c>
      <c r="I22" s="1">
        <f>if(H22&gt;100, 100, H2)</f>
        <v>100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  <c r="Q22" s="1">
        <v>100.0</v>
      </c>
      <c r="R22" s="1">
        <v>0.0</v>
      </c>
      <c r="S22" s="1">
        <v>0.0</v>
      </c>
      <c r="T22" s="1">
        <v>0.0</v>
      </c>
      <c r="U22" s="2">
        <f t="shared" si="6"/>
        <v>4</v>
      </c>
      <c r="W22" s="3" t="s">
        <v>269</v>
      </c>
      <c r="X22" s="2">
        <f>mode($P$2:$P$214)</f>
        <v>0</v>
      </c>
      <c r="Y22" s="2">
        <f>MAX($P$2:$P$214)</f>
        <v>40.51813242</v>
      </c>
      <c r="Z22" s="2">
        <f>MIN($P$2:$P$214)</f>
        <v>0</v>
      </c>
      <c r="AA22" s="2">
        <f t="shared" si="7"/>
        <v>40.51813242</v>
      </c>
      <c r="AB22" s="2">
        <f>AVERAGE($P$2:$P$214)</f>
        <v>4.224039638</v>
      </c>
      <c r="AC22" s="2">
        <f>MEDIAN($P$2:$P$214)</f>
        <v>0.2196897375</v>
      </c>
      <c r="AD22" s="2">
        <f>QUARTILE($P$2:$P$214,1)</f>
        <v>0</v>
      </c>
      <c r="AE22" s="2">
        <f>QUARTILE($P$2:$P$214,2)</f>
        <v>0.2196897375</v>
      </c>
      <c r="AF22" s="2">
        <f>QUARTILE($P$2:$P$214,3)</f>
        <v>6.157471481</v>
      </c>
      <c r="AG22" s="2">
        <f t="shared" si="8"/>
        <v>6.157471481</v>
      </c>
    </row>
    <row r="23">
      <c r="A23" s="1" t="s">
        <v>26</v>
      </c>
      <c r="B23" s="1">
        <v>57.55699921</v>
      </c>
      <c r="C23" s="1">
        <f t="shared" si="1"/>
        <v>1</v>
      </c>
      <c r="D23" s="1">
        <f t="shared" si="2"/>
        <v>57556.99921</v>
      </c>
      <c r="E23" s="1">
        <v>91.79799652</v>
      </c>
      <c r="F23" s="1">
        <f t="shared" si="3"/>
        <v>52836.17213</v>
      </c>
      <c r="G23" s="1">
        <f t="shared" si="4"/>
        <v>8.20200348</v>
      </c>
      <c r="H23" s="1">
        <v>100.0</v>
      </c>
      <c r="I23" s="1">
        <f t="shared" ref="I23:I25" si="9">ROUNDUP(H23,0)</f>
        <v>100</v>
      </c>
      <c r="J23" s="1">
        <v>0.0</v>
      </c>
      <c r="K23" s="1">
        <v>0.0</v>
      </c>
      <c r="L23" s="1">
        <v>0.0</v>
      </c>
      <c r="M23" s="1" t="s">
        <v>18</v>
      </c>
      <c r="N23" s="1" t="s">
        <v>18</v>
      </c>
      <c r="O23" s="1" t="s">
        <v>18</v>
      </c>
      <c r="P23" s="1" t="s">
        <v>18</v>
      </c>
      <c r="Q23" s="1" t="s">
        <v>18</v>
      </c>
      <c r="R23" s="1" t="s">
        <v>18</v>
      </c>
      <c r="S23" s="1" t="s">
        <v>18</v>
      </c>
      <c r="T23" s="1" t="s">
        <v>18</v>
      </c>
      <c r="U23" s="2">
        <f t="shared" si="6"/>
        <v>4</v>
      </c>
      <c r="W23" s="3" t="s">
        <v>266</v>
      </c>
      <c r="X23" s="2">
        <f>mode($Q$2:$Q$214)</f>
        <v>100</v>
      </c>
      <c r="Y23" s="2">
        <f>MAX($Q$2:$Q$214)</f>
        <v>100</v>
      </c>
      <c r="Z23" s="2">
        <f>MIN($Q$2:$Q$214)</f>
        <v>49.66166495</v>
      </c>
      <c r="AA23" s="2">
        <f t="shared" si="7"/>
        <v>50.33833505</v>
      </c>
      <c r="AB23" s="2">
        <f>AVERAGE($Q$2:$Q$214)</f>
        <v>94.68983975</v>
      </c>
      <c r="AC23" s="2">
        <f>MEDIAN($Q$2:$Q$214)</f>
        <v>98.10662849</v>
      </c>
      <c r="AD23" s="2">
        <f>QUARTILE($Q$2:$Q$214,1)</f>
        <v>92.56287752</v>
      </c>
      <c r="AE23" s="2">
        <f>QUARTILE($Q$2:$Q$214,2)</f>
        <v>98.10662849</v>
      </c>
      <c r="AF23" s="2">
        <f>QUARTILE($Q$2:$Q$214,3)</f>
        <v>99.94941803</v>
      </c>
      <c r="AG23" s="2">
        <f t="shared" si="8"/>
        <v>7.38654051</v>
      </c>
    </row>
    <row r="24">
      <c r="A24" s="1" t="s">
        <v>29</v>
      </c>
      <c r="B24" s="1">
        <v>59.19400024</v>
      </c>
      <c r="C24" s="1">
        <f t="shared" si="1"/>
        <v>1</v>
      </c>
      <c r="D24" s="1">
        <f t="shared" si="2"/>
        <v>59194.00024</v>
      </c>
      <c r="E24" s="1">
        <v>77.79399109</v>
      </c>
      <c r="F24" s="1">
        <f t="shared" si="3"/>
        <v>46049.37527</v>
      </c>
      <c r="G24" s="1">
        <f t="shared" si="4"/>
        <v>22.20600891</v>
      </c>
      <c r="H24" s="1">
        <v>88.57204698</v>
      </c>
      <c r="I24" s="1">
        <f t="shared" si="9"/>
        <v>89</v>
      </c>
      <c r="J24" s="1">
        <v>11.387979</v>
      </c>
      <c r="K24" s="1">
        <v>0.03997402585</v>
      </c>
      <c r="L24" s="1">
        <v>0.0</v>
      </c>
      <c r="M24" s="1">
        <v>94.42972</v>
      </c>
      <c r="N24" s="1">
        <v>5.39028</v>
      </c>
      <c r="O24" s="1">
        <v>0.18</v>
      </c>
      <c r="P24" s="1">
        <v>0.0</v>
      </c>
      <c r="Q24" s="1">
        <v>86.9</v>
      </c>
      <c r="R24" s="1">
        <v>13.1</v>
      </c>
      <c r="S24" s="1">
        <v>0.0</v>
      </c>
      <c r="T24" s="1">
        <v>0.0</v>
      </c>
      <c r="U24" s="2">
        <f t="shared" si="6"/>
        <v>3</v>
      </c>
      <c r="W24" s="3" t="s">
        <v>267</v>
      </c>
      <c r="X24" s="2">
        <f>mode($R$2:$R$214)</f>
        <v>0</v>
      </c>
      <c r="Y24" s="2">
        <f>MAX($R$2:$R$214)</f>
        <v>34.27978009</v>
      </c>
      <c r="Z24" s="2">
        <f>MIN($R$2:$R$214)</f>
        <v>0</v>
      </c>
      <c r="AA24" s="2">
        <f t="shared" si="7"/>
        <v>34.27978009</v>
      </c>
      <c r="AB24" s="2">
        <f>AVERAGE($R$2:$R$214)</f>
        <v>3.281838654</v>
      </c>
      <c r="AC24" s="2">
        <f>MEDIAN($R$2:$R$214)</f>
        <v>0.5</v>
      </c>
      <c r="AD24" s="2">
        <f>QUARTILE($R$2:$R$214,1)</f>
        <v>0</v>
      </c>
      <c r="AE24" s="2">
        <f>QUARTILE($R$2:$R$214,2)</f>
        <v>0.5</v>
      </c>
      <c r="AF24" s="2">
        <f>QUARTILE($R$2:$R$214,3)</f>
        <v>3.966347184</v>
      </c>
      <c r="AG24" s="2">
        <f t="shared" si="8"/>
        <v>3.966347184</v>
      </c>
    </row>
    <row r="25">
      <c r="A25" s="1" t="s">
        <v>26</v>
      </c>
      <c r="B25" s="1">
        <v>62.27299881</v>
      </c>
      <c r="C25" s="1">
        <f t="shared" si="1"/>
        <v>1</v>
      </c>
      <c r="D25" s="1">
        <f t="shared" si="2"/>
        <v>62272.99881</v>
      </c>
      <c r="E25" s="1">
        <v>100.0</v>
      </c>
      <c r="F25" s="1">
        <f t="shared" si="3"/>
        <v>62272.99881</v>
      </c>
      <c r="G25" s="1">
        <f t="shared" si="4"/>
        <v>0</v>
      </c>
      <c r="H25" s="1">
        <v>99.90314002</v>
      </c>
      <c r="I25" s="1">
        <f t="shared" si="9"/>
        <v>100</v>
      </c>
      <c r="J25" s="1">
        <v>0.0</v>
      </c>
      <c r="K25" s="1">
        <v>0.09685998294</v>
      </c>
      <c r="L25" s="1">
        <v>0.0</v>
      </c>
      <c r="M25" s="1" t="s">
        <v>18</v>
      </c>
      <c r="N25" s="1" t="s">
        <v>18</v>
      </c>
      <c r="O25" s="1" t="s">
        <v>18</v>
      </c>
      <c r="P25" s="1" t="s">
        <v>18</v>
      </c>
      <c r="Q25" s="1">
        <v>99.90314002</v>
      </c>
      <c r="R25" s="1">
        <v>0.0</v>
      </c>
      <c r="S25" s="1">
        <v>0.09685998294</v>
      </c>
      <c r="T25" s="1">
        <v>0.0</v>
      </c>
      <c r="U25" s="2">
        <f t="shared" si="6"/>
        <v>4</v>
      </c>
      <c r="W25" s="3" t="s">
        <v>268</v>
      </c>
      <c r="X25" s="2">
        <f>mode($S$2:$S$214)</f>
        <v>0</v>
      </c>
      <c r="Y25" s="2">
        <f>MAX($S$2:$S$214)</f>
        <v>19.83580681</v>
      </c>
      <c r="Z25" s="2">
        <f>MIN($S$2:$S$214)</f>
        <v>0</v>
      </c>
      <c r="AA25" s="2">
        <f t="shared" si="7"/>
        <v>19.83580681</v>
      </c>
      <c r="AB25" s="2">
        <f>AVERAGE($S$2:$S$214)</f>
        <v>1.71878521</v>
      </c>
      <c r="AC25" s="2">
        <f>MEDIAN($S$2:$S$214)</f>
        <v>0.3498740029</v>
      </c>
      <c r="AD25" s="2">
        <f>QUARTILE($S$2:$S$214,1)</f>
        <v>0</v>
      </c>
      <c r="AE25" s="2">
        <f>QUARTILE($S$2:$S$214,2)</f>
        <v>0.3498740029</v>
      </c>
      <c r="AF25" s="2">
        <f>QUARTILE($S$2:$S$214,3)</f>
        <v>2.059001302</v>
      </c>
      <c r="AG25" s="2">
        <f t="shared" si="8"/>
        <v>2.059001302</v>
      </c>
    </row>
    <row r="26">
      <c r="A26" s="1" t="s">
        <v>26</v>
      </c>
      <c r="B26" s="1">
        <v>77.26499939</v>
      </c>
      <c r="C26" s="1">
        <f t="shared" si="1"/>
        <v>1</v>
      </c>
      <c r="D26" s="1">
        <f t="shared" si="2"/>
        <v>77264.99939</v>
      </c>
      <c r="E26" s="1">
        <v>87.91600037</v>
      </c>
      <c r="F26" s="1">
        <f t="shared" si="3"/>
        <v>67928.29715</v>
      </c>
      <c r="G26" s="1">
        <f t="shared" si="4"/>
        <v>12.08399963</v>
      </c>
      <c r="H26" s="1">
        <v>100.0000037</v>
      </c>
      <c r="I26" s="1">
        <f>if(H26&gt;100, 100, H6)</f>
        <v>100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1">
        <v>100.0</v>
      </c>
      <c r="R26" s="1">
        <v>0.0</v>
      </c>
      <c r="S26" s="1">
        <v>0.0</v>
      </c>
      <c r="T26" s="1">
        <v>0.0</v>
      </c>
      <c r="U26" s="2">
        <f t="shared" si="6"/>
        <v>4</v>
      </c>
      <c r="W26" s="3" t="s">
        <v>269</v>
      </c>
      <c r="X26" s="2">
        <f>mode($T$2:$T$214)</f>
        <v>0</v>
      </c>
      <c r="Y26" s="2">
        <f>MAX($T$2:$T$214)</f>
        <v>6.362160532</v>
      </c>
      <c r="Z26" s="2">
        <f>MIN($T$2:$T$214)</f>
        <v>0</v>
      </c>
      <c r="AA26" s="2">
        <f t="shared" si="7"/>
        <v>6.362160532</v>
      </c>
      <c r="AB26" s="2">
        <f>AVERAGE($T$2:$T$214)</f>
        <v>0.3131148443</v>
      </c>
      <c r="AC26" s="2">
        <f>MEDIAN($T$2:$T$214)</f>
        <v>0</v>
      </c>
      <c r="AD26" s="2">
        <f>QUARTILE($T$2:$T$214,1)</f>
        <v>0</v>
      </c>
      <c r="AE26" s="2">
        <f>QUARTILE($T$2:$T$214,2)</f>
        <v>0</v>
      </c>
      <c r="AF26" s="2">
        <f>QUARTILE($T$2:$T$214,3)</f>
        <v>0.1597056849</v>
      </c>
      <c r="AG26" s="2">
        <f t="shared" si="8"/>
        <v>0.1597056849</v>
      </c>
    </row>
    <row r="27">
      <c r="A27" s="1" t="s">
        <v>26</v>
      </c>
      <c r="B27" s="1">
        <v>85.03199768</v>
      </c>
      <c r="C27" s="1">
        <f t="shared" si="1"/>
        <v>1</v>
      </c>
      <c r="D27" s="1">
        <f t="shared" si="2"/>
        <v>85031.99768</v>
      </c>
      <c r="E27" s="1">
        <v>52.89800262</v>
      </c>
      <c r="F27" s="1">
        <f t="shared" si="3"/>
        <v>44980.22836</v>
      </c>
      <c r="G27" s="1">
        <f t="shared" si="4"/>
        <v>47.10199738</v>
      </c>
      <c r="H27" s="1">
        <v>99.075</v>
      </c>
      <c r="I27" s="1">
        <f t="shared" ref="I27:I45" si="10">ROUNDUP(H27,0)</f>
        <v>100</v>
      </c>
      <c r="J27" s="1">
        <v>0.0</v>
      </c>
      <c r="K27" s="1">
        <v>0.925</v>
      </c>
      <c r="L27" s="1">
        <v>0.0</v>
      </c>
      <c r="M27" s="1" t="s">
        <v>18</v>
      </c>
      <c r="N27" s="1" t="s">
        <v>18</v>
      </c>
      <c r="O27" s="1" t="s">
        <v>18</v>
      </c>
      <c r="P27" s="1" t="s">
        <v>18</v>
      </c>
      <c r="Q27" s="1" t="s">
        <v>18</v>
      </c>
      <c r="R27" s="1" t="s">
        <v>18</v>
      </c>
      <c r="S27" s="1" t="s">
        <v>18</v>
      </c>
      <c r="T27" s="1" t="s">
        <v>18</v>
      </c>
      <c r="U27" s="2">
        <f t="shared" si="6"/>
        <v>4</v>
      </c>
    </row>
    <row r="28">
      <c r="A28" s="1" t="s">
        <v>26</v>
      </c>
      <c r="B28" s="1">
        <v>104.4229965</v>
      </c>
      <c r="C28" s="1">
        <f t="shared" si="1"/>
        <v>1</v>
      </c>
      <c r="D28" s="1">
        <f t="shared" si="2"/>
        <v>104422.9965</v>
      </c>
      <c r="E28" s="1">
        <v>95.93900299</v>
      </c>
      <c r="F28" s="1">
        <f t="shared" si="3"/>
        <v>100182.3817</v>
      </c>
      <c r="G28" s="1">
        <f t="shared" si="4"/>
        <v>4.06099701</v>
      </c>
      <c r="H28" s="1">
        <v>98.71826738</v>
      </c>
      <c r="I28" s="1">
        <f t="shared" si="10"/>
        <v>99</v>
      </c>
      <c r="J28" s="1">
        <v>0.0</v>
      </c>
      <c r="K28" s="1">
        <v>1.281732624</v>
      </c>
      <c r="L28" s="1">
        <v>0.0</v>
      </c>
      <c r="M28" s="1" t="s">
        <v>18</v>
      </c>
      <c r="N28" s="1" t="s">
        <v>18</v>
      </c>
      <c r="O28" s="1" t="s">
        <v>18</v>
      </c>
      <c r="P28" s="1" t="s">
        <v>18</v>
      </c>
      <c r="Q28" s="1" t="s">
        <v>18</v>
      </c>
      <c r="R28" s="1" t="s">
        <v>18</v>
      </c>
      <c r="S28" s="1" t="s">
        <v>18</v>
      </c>
      <c r="T28" s="1" t="s">
        <v>18</v>
      </c>
      <c r="U28" s="2">
        <f t="shared" si="6"/>
        <v>4</v>
      </c>
    </row>
    <row r="29">
      <c r="A29" s="1" t="s">
        <v>29</v>
      </c>
      <c r="B29" s="1">
        <v>105.6969986</v>
      </c>
      <c r="C29" s="1">
        <f t="shared" si="1"/>
        <v>1</v>
      </c>
      <c r="D29" s="1">
        <f t="shared" si="2"/>
        <v>105696.9986</v>
      </c>
      <c r="E29" s="1">
        <v>23.09899902</v>
      </c>
      <c r="F29" s="1">
        <f t="shared" si="3"/>
        <v>24414.94867</v>
      </c>
      <c r="G29" s="1">
        <f t="shared" si="4"/>
        <v>76.90100098</v>
      </c>
      <c r="H29" s="1">
        <v>98.73108083</v>
      </c>
      <c r="I29" s="1">
        <f t="shared" si="10"/>
        <v>99</v>
      </c>
      <c r="J29" s="1">
        <v>0.8814972962</v>
      </c>
      <c r="K29" s="1">
        <v>0.3874218777</v>
      </c>
      <c r="L29" s="1">
        <v>0.0</v>
      </c>
      <c r="M29" s="1">
        <v>98.46807854</v>
      </c>
      <c r="N29" s="1">
        <v>1.103159706</v>
      </c>
      <c r="O29" s="1">
        <v>0.4287617551</v>
      </c>
      <c r="P29" s="1">
        <v>0.0</v>
      </c>
      <c r="Q29" s="1">
        <v>99.60665819</v>
      </c>
      <c r="R29" s="1">
        <v>0.143540536</v>
      </c>
      <c r="S29" s="1">
        <v>0.2498012758</v>
      </c>
      <c r="T29" s="1">
        <v>0.0</v>
      </c>
      <c r="U29" s="2">
        <f t="shared" si="6"/>
        <v>3</v>
      </c>
    </row>
    <row r="30">
      <c r="A30" s="1" t="s">
        <v>49</v>
      </c>
      <c r="B30" s="1">
        <v>119.4459991</v>
      </c>
      <c r="C30" s="1">
        <f t="shared" si="1"/>
        <v>1</v>
      </c>
      <c r="D30" s="1">
        <f t="shared" si="2"/>
        <v>119445.9991</v>
      </c>
      <c r="E30" s="1">
        <v>55.59399796</v>
      </c>
      <c r="F30" s="1">
        <f t="shared" si="3"/>
        <v>66404.8063</v>
      </c>
      <c r="G30" s="1">
        <f t="shared" si="4"/>
        <v>44.40600204</v>
      </c>
      <c r="H30" s="1">
        <v>77.97092085</v>
      </c>
      <c r="I30" s="1">
        <f t="shared" si="10"/>
        <v>78</v>
      </c>
      <c r="J30" s="1">
        <v>4.076899625</v>
      </c>
      <c r="K30" s="1">
        <v>17.95217953</v>
      </c>
      <c r="L30" s="1">
        <v>0.0</v>
      </c>
      <c r="M30" s="1">
        <v>60.99418489</v>
      </c>
      <c r="N30" s="1">
        <v>2.096609799</v>
      </c>
      <c r="O30" s="1">
        <v>36.90920532</v>
      </c>
      <c r="P30" s="1">
        <v>0.0</v>
      </c>
      <c r="Q30" s="1">
        <v>91.53117485</v>
      </c>
      <c r="R30" s="1">
        <v>5.658666461</v>
      </c>
      <c r="S30" s="1">
        <v>2.810158691</v>
      </c>
      <c r="T30" s="1">
        <v>0.0</v>
      </c>
      <c r="U30" s="2">
        <f t="shared" si="6"/>
        <v>2</v>
      </c>
    </row>
    <row r="31">
      <c r="A31" s="1" t="s">
        <v>26</v>
      </c>
      <c r="B31" s="1">
        <v>168.7830048</v>
      </c>
      <c r="C31" s="1">
        <f t="shared" si="1"/>
        <v>1</v>
      </c>
      <c r="D31" s="1">
        <f t="shared" si="2"/>
        <v>168783.0048</v>
      </c>
      <c r="E31" s="1">
        <v>94.93800354</v>
      </c>
      <c r="F31" s="1">
        <f t="shared" si="3"/>
        <v>160239.2151</v>
      </c>
      <c r="G31" s="1">
        <f t="shared" si="4"/>
        <v>5.06199646</v>
      </c>
      <c r="H31" s="1">
        <v>99.6952</v>
      </c>
      <c r="I31" s="1">
        <f t="shared" si="10"/>
        <v>100</v>
      </c>
      <c r="J31" s="1">
        <v>0.0</v>
      </c>
      <c r="K31" s="1">
        <v>0.3048</v>
      </c>
      <c r="L31" s="1">
        <v>0.0</v>
      </c>
      <c r="M31" s="1" t="s">
        <v>18</v>
      </c>
      <c r="N31" s="1" t="s">
        <v>18</v>
      </c>
      <c r="O31" s="1" t="s">
        <v>18</v>
      </c>
      <c r="P31" s="1" t="s">
        <v>18</v>
      </c>
      <c r="Q31" s="1" t="s">
        <v>18</v>
      </c>
      <c r="R31" s="1" t="s">
        <v>18</v>
      </c>
      <c r="S31" s="1" t="s">
        <v>18</v>
      </c>
      <c r="T31" s="1" t="s">
        <v>18</v>
      </c>
      <c r="U31" s="2">
        <f t="shared" si="6"/>
        <v>4</v>
      </c>
    </row>
    <row r="32">
      <c r="A32" s="1" t="s">
        <v>29</v>
      </c>
      <c r="B32" s="1">
        <v>183.6289978</v>
      </c>
      <c r="C32" s="1">
        <f t="shared" si="1"/>
        <v>1</v>
      </c>
      <c r="D32" s="1">
        <f t="shared" si="2"/>
        <v>183628.9978</v>
      </c>
      <c r="E32" s="1">
        <v>18.8409996</v>
      </c>
      <c r="F32" s="1">
        <f t="shared" si="3"/>
        <v>34597.53874</v>
      </c>
      <c r="G32" s="1">
        <f t="shared" si="4"/>
        <v>81.1590004</v>
      </c>
      <c r="H32" s="1">
        <v>96.88784457</v>
      </c>
      <c r="I32" s="1">
        <f t="shared" si="10"/>
        <v>97</v>
      </c>
      <c r="J32" s="1">
        <v>1.815652166</v>
      </c>
      <c r="K32" s="1">
        <v>1.296503269</v>
      </c>
      <c r="L32" s="1">
        <v>0.0</v>
      </c>
      <c r="M32" s="1">
        <v>96.81402383</v>
      </c>
      <c r="N32" s="1">
        <v>1.734152255</v>
      </c>
      <c r="O32" s="1">
        <v>1.451823918</v>
      </c>
      <c r="P32" s="1">
        <v>0.0</v>
      </c>
      <c r="Q32" s="1">
        <v>97.20582219</v>
      </c>
      <c r="R32" s="1">
        <v>2.166718886</v>
      </c>
      <c r="S32" s="1">
        <v>0.6274589237</v>
      </c>
      <c r="T32" s="1">
        <v>0.0</v>
      </c>
      <c r="U32" s="2">
        <f t="shared" si="6"/>
        <v>3</v>
      </c>
    </row>
    <row r="33">
      <c r="A33" s="1" t="s">
        <v>49</v>
      </c>
      <c r="B33" s="1">
        <v>198.4100037</v>
      </c>
      <c r="C33" s="1">
        <f t="shared" si="1"/>
        <v>1</v>
      </c>
      <c r="D33" s="1">
        <f t="shared" si="2"/>
        <v>198410.0037</v>
      </c>
      <c r="E33" s="1">
        <v>17.88899994</v>
      </c>
      <c r="F33" s="1">
        <f t="shared" si="3"/>
        <v>35493.56544</v>
      </c>
      <c r="G33" s="1">
        <f t="shared" si="4"/>
        <v>82.11100006</v>
      </c>
      <c r="H33" s="1">
        <v>91.83772455</v>
      </c>
      <c r="I33" s="1">
        <f t="shared" si="10"/>
        <v>92</v>
      </c>
      <c r="J33" s="1">
        <v>6.520899952</v>
      </c>
      <c r="K33" s="1">
        <v>1.418623428</v>
      </c>
      <c r="L33" s="1">
        <v>0.2227520679</v>
      </c>
      <c r="M33" s="1">
        <v>91.78032287</v>
      </c>
      <c r="N33" s="1">
        <v>6.220703339</v>
      </c>
      <c r="O33" s="1">
        <v>1.72769216</v>
      </c>
      <c r="P33" s="1">
        <v>0.2712816327</v>
      </c>
      <c r="Q33" s="1">
        <v>92.10119</v>
      </c>
      <c r="R33" s="1">
        <v>7.89881</v>
      </c>
      <c r="S33" s="1">
        <v>0.0</v>
      </c>
      <c r="T33" s="1">
        <v>0.0</v>
      </c>
      <c r="U33" s="2">
        <f t="shared" si="6"/>
        <v>2</v>
      </c>
    </row>
    <row r="34">
      <c r="A34" s="1" t="s">
        <v>49</v>
      </c>
      <c r="B34" s="1">
        <v>219.1609955</v>
      </c>
      <c r="C34" s="1">
        <f t="shared" si="1"/>
        <v>1</v>
      </c>
      <c r="D34" s="1">
        <f t="shared" si="2"/>
        <v>219160.9955</v>
      </c>
      <c r="E34" s="1">
        <v>74.35400391</v>
      </c>
      <c r="F34" s="1">
        <f t="shared" si="3"/>
        <v>162954.9752</v>
      </c>
      <c r="G34" s="1">
        <f t="shared" si="4"/>
        <v>25.64599609</v>
      </c>
      <c r="H34" s="1">
        <v>78.22645516</v>
      </c>
      <c r="I34" s="1">
        <f t="shared" si="10"/>
        <v>79</v>
      </c>
      <c r="J34" s="1">
        <v>20.23798298</v>
      </c>
      <c r="K34" s="1">
        <v>0.4435199284</v>
      </c>
      <c r="L34" s="1">
        <v>1.09204193</v>
      </c>
      <c r="M34" s="1">
        <v>74.30061449</v>
      </c>
      <c r="N34" s="1">
        <v>19.71184258</v>
      </c>
      <c r="O34" s="1">
        <v>1.729405704</v>
      </c>
      <c r="P34" s="1">
        <v>4.258137228</v>
      </c>
      <c r="Q34" s="1">
        <v>79.5805429</v>
      </c>
      <c r="R34" s="1">
        <v>20.4194571</v>
      </c>
      <c r="S34" s="1">
        <v>0.0</v>
      </c>
      <c r="T34" s="1">
        <v>0.0</v>
      </c>
      <c r="U34" s="2">
        <f t="shared" si="6"/>
        <v>2</v>
      </c>
    </row>
    <row r="35">
      <c r="A35" s="1" t="s">
        <v>18</v>
      </c>
      <c r="B35" s="1">
        <v>272.8129883</v>
      </c>
      <c r="C35" s="1">
        <f t="shared" si="1"/>
        <v>1</v>
      </c>
      <c r="D35" s="1">
        <f t="shared" si="2"/>
        <v>272812.9883</v>
      </c>
      <c r="E35" s="1">
        <v>45.75099945</v>
      </c>
      <c r="F35" s="1">
        <f t="shared" si="3"/>
        <v>124814.6688</v>
      </c>
      <c r="G35" s="1">
        <f t="shared" si="4"/>
        <v>54.24900055</v>
      </c>
      <c r="H35" s="1">
        <v>96.37117971</v>
      </c>
      <c r="I35" s="1">
        <f t="shared" si="10"/>
        <v>97</v>
      </c>
      <c r="J35" s="1">
        <v>0.0</v>
      </c>
      <c r="K35" s="1">
        <v>3.628820295</v>
      </c>
      <c r="L35" s="1" t="s">
        <v>18</v>
      </c>
      <c r="M35" s="1" t="s">
        <v>18</v>
      </c>
      <c r="N35" s="1" t="s">
        <v>18</v>
      </c>
      <c r="O35" s="1" t="s">
        <v>18</v>
      </c>
      <c r="P35" s="1" t="s">
        <v>18</v>
      </c>
      <c r="Q35" s="1" t="s">
        <v>18</v>
      </c>
      <c r="R35" s="1" t="s">
        <v>18</v>
      </c>
      <c r="S35" s="1" t="s">
        <v>18</v>
      </c>
      <c r="T35" s="1" t="s">
        <v>18</v>
      </c>
      <c r="U35" s="2">
        <f t="shared" si="6"/>
        <v>0</v>
      </c>
    </row>
    <row r="36">
      <c r="A36" s="1" t="s">
        <v>26</v>
      </c>
      <c r="B36" s="1">
        <v>280.9039917</v>
      </c>
      <c r="C36" s="1">
        <f t="shared" si="1"/>
        <v>1</v>
      </c>
      <c r="D36" s="1">
        <f t="shared" si="2"/>
        <v>280903.9917</v>
      </c>
      <c r="E36" s="1">
        <v>61.97500229</v>
      </c>
      <c r="F36" s="1">
        <f t="shared" si="3"/>
        <v>174090.2553</v>
      </c>
      <c r="G36" s="1">
        <f t="shared" si="4"/>
        <v>38.02499771</v>
      </c>
      <c r="H36" s="1">
        <v>100.0</v>
      </c>
      <c r="I36" s="1">
        <f t="shared" si="10"/>
        <v>100</v>
      </c>
      <c r="J36" s="1">
        <v>0.0</v>
      </c>
      <c r="K36" s="1">
        <v>0.0</v>
      </c>
      <c r="L36" s="1">
        <v>0.0</v>
      </c>
      <c r="M36" s="1" t="s">
        <v>18</v>
      </c>
      <c r="N36" s="1" t="s">
        <v>18</v>
      </c>
      <c r="O36" s="1" t="s">
        <v>18</v>
      </c>
      <c r="P36" s="1" t="s">
        <v>18</v>
      </c>
      <c r="Q36" s="1" t="s">
        <v>18</v>
      </c>
      <c r="R36" s="1" t="s">
        <v>18</v>
      </c>
      <c r="S36" s="1" t="s">
        <v>18</v>
      </c>
      <c r="T36" s="1" t="s">
        <v>18</v>
      </c>
      <c r="U36" s="2">
        <f t="shared" si="6"/>
        <v>4</v>
      </c>
    </row>
    <row r="37">
      <c r="A37" s="1" t="s">
        <v>26</v>
      </c>
      <c r="B37" s="1">
        <v>285.4909973</v>
      </c>
      <c r="C37" s="1">
        <f t="shared" si="1"/>
        <v>1</v>
      </c>
      <c r="D37" s="1">
        <f t="shared" si="2"/>
        <v>285490.9973</v>
      </c>
      <c r="E37" s="1">
        <v>71.51799774</v>
      </c>
      <c r="F37" s="1">
        <f t="shared" si="3"/>
        <v>204177.445</v>
      </c>
      <c r="G37" s="1">
        <f t="shared" si="4"/>
        <v>28.48200226</v>
      </c>
      <c r="H37" s="1">
        <v>99.30532057</v>
      </c>
      <c r="I37" s="1">
        <f t="shared" si="10"/>
        <v>100</v>
      </c>
      <c r="J37" s="1">
        <v>0.0</v>
      </c>
      <c r="K37" s="1">
        <v>0.6946794278</v>
      </c>
      <c r="L37" s="1">
        <v>0.0</v>
      </c>
      <c r="M37" s="1" t="s">
        <v>18</v>
      </c>
      <c r="N37" s="1" t="s">
        <v>18</v>
      </c>
      <c r="O37" s="1" t="s">
        <v>18</v>
      </c>
      <c r="P37" s="1" t="s">
        <v>18</v>
      </c>
      <c r="Q37" s="1" t="s">
        <v>18</v>
      </c>
      <c r="R37" s="1" t="s">
        <v>18</v>
      </c>
      <c r="S37" s="1" t="s">
        <v>18</v>
      </c>
      <c r="T37" s="1" t="s">
        <v>18</v>
      </c>
      <c r="U37" s="2">
        <f t="shared" si="6"/>
        <v>4</v>
      </c>
    </row>
    <row r="38">
      <c r="A38" s="1" t="s">
        <v>26</v>
      </c>
      <c r="B38" s="1">
        <v>287.3710022</v>
      </c>
      <c r="C38" s="1">
        <f t="shared" si="1"/>
        <v>1</v>
      </c>
      <c r="D38" s="1">
        <f t="shared" si="2"/>
        <v>287371.0022</v>
      </c>
      <c r="E38" s="1">
        <v>31.19099998</v>
      </c>
      <c r="F38" s="1">
        <f t="shared" si="3"/>
        <v>89633.88924</v>
      </c>
      <c r="G38" s="1">
        <f t="shared" si="4"/>
        <v>68.80900002</v>
      </c>
      <c r="H38" s="1">
        <v>98.51445042</v>
      </c>
      <c r="I38" s="1">
        <f t="shared" si="10"/>
        <v>99</v>
      </c>
      <c r="J38" s="1">
        <v>0.2676005761</v>
      </c>
      <c r="K38" s="1">
        <v>1.217949005</v>
      </c>
      <c r="L38" s="1">
        <v>0.0</v>
      </c>
      <c r="M38" s="1" t="s">
        <v>18</v>
      </c>
      <c r="N38" s="1" t="s">
        <v>18</v>
      </c>
      <c r="O38" s="1" t="s">
        <v>18</v>
      </c>
      <c r="P38" s="1" t="s">
        <v>18</v>
      </c>
      <c r="Q38" s="1" t="s">
        <v>18</v>
      </c>
      <c r="R38" s="1" t="s">
        <v>18</v>
      </c>
      <c r="S38" s="1" t="s">
        <v>18</v>
      </c>
      <c r="T38" s="1" t="s">
        <v>18</v>
      </c>
      <c r="U38" s="2">
        <f t="shared" si="6"/>
        <v>4</v>
      </c>
    </row>
    <row r="39">
      <c r="A39" s="1" t="s">
        <v>18</v>
      </c>
      <c r="B39" s="1">
        <v>298.6820068</v>
      </c>
      <c r="C39" s="1">
        <f t="shared" si="1"/>
        <v>1</v>
      </c>
      <c r="D39" s="1">
        <f t="shared" si="2"/>
        <v>298682.0068</v>
      </c>
      <c r="E39" s="1">
        <v>85.81999969</v>
      </c>
      <c r="F39" s="1">
        <f t="shared" si="3"/>
        <v>256328.8973</v>
      </c>
      <c r="G39" s="1">
        <f t="shared" si="4"/>
        <v>14.18000031</v>
      </c>
      <c r="H39" s="1">
        <v>93.78221635</v>
      </c>
      <c r="I39" s="1">
        <f t="shared" si="10"/>
        <v>94</v>
      </c>
      <c r="J39" s="1">
        <v>0.0</v>
      </c>
      <c r="K39" s="1">
        <v>6.217783652</v>
      </c>
      <c r="L39" s="1">
        <v>0.0</v>
      </c>
      <c r="M39" s="1" t="s">
        <v>18</v>
      </c>
      <c r="N39" s="1" t="s">
        <v>18</v>
      </c>
      <c r="O39" s="1" t="s">
        <v>18</v>
      </c>
      <c r="P39" s="1" t="s">
        <v>18</v>
      </c>
      <c r="Q39" s="1" t="s">
        <v>18</v>
      </c>
      <c r="R39" s="1" t="s">
        <v>18</v>
      </c>
      <c r="S39" s="1" t="s">
        <v>18</v>
      </c>
      <c r="T39" s="1" t="s">
        <v>18</v>
      </c>
      <c r="U39" s="2">
        <f t="shared" si="6"/>
        <v>0</v>
      </c>
    </row>
    <row r="40">
      <c r="A40" s="1" t="s">
        <v>49</v>
      </c>
      <c r="B40" s="1">
        <v>307.1499939</v>
      </c>
      <c r="C40" s="1">
        <f t="shared" si="1"/>
        <v>1</v>
      </c>
      <c r="D40" s="1">
        <f t="shared" si="2"/>
        <v>307149.9939</v>
      </c>
      <c r="E40" s="1">
        <v>25.52500153</v>
      </c>
      <c r="F40" s="1">
        <f t="shared" si="3"/>
        <v>78400.04064</v>
      </c>
      <c r="G40" s="1">
        <f t="shared" si="4"/>
        <v>74.47499847</v>
      </c>
      <c r="H40" s="1">
        <v>91.23119075</v>
      </c>
      <c r="I40" s="1">
        <f t="shared" si="10"/>
        <v>92</v>
      </c>
      <c r="J40" s="1">
        <v>1.06238505</v>
      </c>
      <c r="K40" s="1">
        <v>0.0</v>
      </c>
      <c r="L40" s="1">
        <v>7.706424202</v>
      </c>
      <c r="M40" s="1">
        <v>88.39720123</v>
      </c>
      <c r="N40" s="1">
        <v>1.255132675</v>
      </c>
      <c r="O40" s="1">
        <v>0.0</v>
      </c>
      <c r="P40" s="1">
        <v>10.3476661</v>
      </c>
      <c r="Q40" s="1">
        <v>99.5</v>
      </c>
      <c r="R40" s="1">
        <v>0.5</v>
      </c>
      <c r="S40" s="1">
        <v>0.0</v>
      </c>
      <c r="T40" s="1">
        <v>0.0</v>
      </c>
      <c r="U40" s="2">
        <f t="shared" si="6"/>
        <v>2</v>
      </c>
    </row>
    <row r="41">
      <c r="A41" s="1" t="s">
        <v>26</v>
      </c>
      <c r="B41" s="1">
        <v>341.25</v>
      </c>
      <c r="C41" s="1">
        <f t="shared" si="1"/>
        <v>1</v>
      </c>
      <c r="D41" s="1">
        <f t="shared" si="2"/>
        <v>341250</v>
      </c>
      <c r="E41" s="1">
        <v>93.897995</v>
      </c>
      <c r="F41" s="1">
        <f t="shared" si="3"/>
        <v>320426.9079</v>
      </c>
      <c r="G41" s="1">
        <f t="shared" si="4"/>
        <v>6.102005</v>
      </c>
      <c r="H41" s="1">
        <v>99.99999721</v>
      </c>
      <c r="I41" s="1">
        <f t="shared" si="10"/>
        <v>100</v>
      </c>
      <c r="J41" s="1">
        <v>0.0</v>
      </c>
      <c r="K41" s="1">
        <v>2.794650015E-6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1">
        <v>100.0</v>
      </c>
      <c r="R41" s="1">
        <v>0.0</v>
      </c>
      <c r="S41" s="1">
        <v>0.0</v>
      </c>
      <c r="T41" s="1">
        <v>0.0</v>
      </c>
      <c r="U41" s="2">
        <f t="shared" si="6"/>
        <v>4</v>
      </c>
    </row>
    <row r="42">
      <c r="A42" s="1" t="s">
        <v>18</v>
      </c>
      <c r="B42" s="1">
        <v>375.2650146</v>
      </c>
      <c r="C42" s="1">
        <f t="shared" si="1"/>
        <v>1</v>
      </c>
      <c r="D42" s="1">
        <f t="shared" si="2"/>
        <v>375265.0146</v>
      </c>
      <c r="E42" s="1">
        <v>89.13999939</v>
      </c>
      <c r="F42" s="1">
        <f t="shared" si="3"/>
        <v>334511.2317</v>
      </c>
      <c r="G42" s="1">
        <f t="shared" si="4"/>
        <v>10.86000061</v>
      </c>
      <c r="H42" s="1">
        <v>99.84197078</v>
      </c>
      <c r="I42" s="1">
        <f t="shared" si="10"/>
        <v>100</v>
      </c>
      <c r="J42" s="1">
        <v>0.0</v>
      </c>
      <c r="K42" s="1">
        <v>0.1580292158</v>
      </c>
      <c r="L42" s="1">
        <v>0.0</v>
      </c>
      <c r="M42" s="1" t="s">
        <v>18</v>
      </c>
      <c r="N42" s="1" t="s">
        <v>18</v>
      </c>
      <c r="O42" s="1" t="s">
        <v>18</v>
      </c>
      <c r="P42" s="1" t="s">
        <v>18</v>
      </c>
      <c r="Q42" s="1" t="s">
        <v>18</v>
      </c>
      <c r="R42" s="1" t="s">
        <v>18</v>
      </c>
      <c r="S42" s="1" t="s">
        <v>18</v>
      </c>
      <c r="T42" s="1" t="s">
        <v>18</v>
      </c>
      <c r="U42" s="2">
        <f t="shared" si="6"/>
        <v>0</v>
      </c>
    </row>
    <row r="43">
      <c r="A43" s="1" t="s">
        <v>29</v>
      </c>
      <c r="B43" s="1">
        <v>397.6210022</v>
      </c>
      <c r="C43" s="1">
        <f t="shared" si="1"/>
        <v>1</v>
      </c>
      <c r="D43" s="1">
        <f t="shared" si="2"/>
        <v>397621.0022</v>
      </c>
      <c r="E43" s="1">
        <v>46.02500153</v>
      </c>
      <c r="F43" s="1">
        <f t="shared" si="3"/>
        <v>183005.0723</v>
      </c>
      <c r="G43" s="1">
        <f t="shared" si="4"/>
        <v>53.97499847</v>
      </c>
      <c r="H43" s="1">
        <v>98.40195463</v>
      </c>
      <c r="I43" s="1">
        <f t="shared" si="10"/>
        <v>99</v>
      </c>
      <c r="J43" s="1">
        <v>1.249110629</v>
      </c>
      <c r="K43" s="1">
        <v>0.3489347411</v>
      </c>
      <c r="L43" s="1">
        <v>0.0</v>
      </c>
      <c r="M43" s="1">
        <v>97.99520758</v>
      </c>
      <c r="N43" s="1">
        <v>1.358317682</v>
      </c>
      <c r="O43" s="1">
        <v>0.6464747393</v>
      </c>
      <c r="P43" s="1">
        <v>0.0</v>
      </c>
      <c r="Q43" s="1">
        <v>98.87896</v>
      </c>
      <c r="R43" s="1">
        <v>1.12104</v>
      </c>
      <c r="S43" s="1">
        <v>0.0</v>
      </c>
      <c r="T43" s="1">
        <v>0.0</v>
      </c>
      <c r="U43" s="2">
        <f t="shared" si="6"/>
        <v>3</v>
      </c>
    </row>
    <row r="44">
      <c r="A44" s="1" t="s">
        <v>18</v>
      </c>
      <c r="B44" s="1">
        <v>400.1270142</v>
      </c>
      <c r="C44" s="1">
        <f t="shared" si="1"/>
        <v>1</v>
      </c>
      <c r="D44" s="1">
        <f t="shared" si="2"/>
        <v>400127.0142</v>
      </c>
      <c r="E44" s="1">
        <v>98.49899292</v>
      </c>
      <c r="F44" s="1">
        <f t="shared" si="3"/>
        <v>394121.0794</v>
      </c>
      <c r="G44" s="1">
        <f t="shared" si="4"/>
        <v>1.50100708</v>
      </c>
      <c r="H44" s="1">
        <v>99.80312604</v>
      </c>
      <c r="I44" s="1">
        <f t="shared" si="10"/>
        <v>100</v>
      </c>
      <c r="J44" s="1">
        <v>0.0</v>
      </c>
      <c r="K44" s="1">
        <v>0.1968739613</v>
      </c>
      <c r="L44" s="1">
        <v>0.0</v>
      </c>
      <c r="M44" s="1" t="s">
        <v>18</v>
      </c>
      <c r="N44" s="1" t="s">
        <v>18</v>
      </c>
      <c r="O44" s="1" t="s">
        <v>18</v>
      </c>
      <c r="P44" s="1" t="s">
        <v>18</v>
      </c>
      <c r="Q44" s="1" t="s">
        <v>18</v>
      </c>
      <c r="R44" s="1" t="s">
        <v>18</v>
      </c>
      <c r="S44" s="1" t="s">
        <v>18</v>
      </c>
      <c r="T44" s="1" t="s">
        <v>18</v>
      </c>
      <c r="U44" s="2">
        <f t="shared" si="6"/>
        <v>0</v>
      </c>
    </row>
    <row r="45">
      <c r="A45" s="1" t="s">
        <v>26</v>
      </c>
      <c r="B45" s="1">
        <v>437.4830017</v>
      </c>
      <c r="C45" s="1">
        <f t="shared" si="1"/>
        <v>1</v>
      </c>
      <c r="D45" s="1">
        <f t="shared" si="2"/>
        <v>437483.0017</v>
      </c>
      <c r="E45" s="1">
        <v>78.25000763</v>
      </c>
      <c r="F45" s="1">
        <f t="shared" si="3"/>
        <v>342330.4822</v>
      </c>
      <c r="G45" s="1">
        <f t="shared" si="4"/>
        <v>21.74999237</v>
      </c>
      <c r="H45" s="1">
        <v>99.9000368</v>
      </c>
      <c r="I45" s="1">
        <f t="shared" si="10"/>
        <v>100</v>
      </c>
      <c r="J45" s="1">
        <v>0.0</v>
      </c>
      <c r="K45" s="1">
        <v>0.09996320036</v>
      </c>
      <c r="L45" s="1">
        <v>0.0</v>
      </c>
      <c r="M45" s="1" t="s">
        <v>18</v>
      </c>
      <c r="N45" s="1" t="s">
        <v>18</v>
      </c>
      <c r="O45" s="1" t="s">
        <v>18</v>
      </c>
      <c r="P45" s="1" t="s">
        <v>18</v>
      </c>
      <c r="Q45" s="1">
        <v>99.65</v>
      </c>
      <c r="R45" s="1">
        <v>0.0</v>
      </c>
      <c r="S45" s="1">
        <v>0.35</v>
      </c>
      <c r="T45" s="1">
        <v>0.0</v>
      </c>
      <c r="U45" s="2">
        <f t="shared" si="6"/>
        <v>4</v>
      </c>
    </row>
    <row r="46">
      <c r="A46" s="1" t="s">
        <v>26</v>
      </c>
      <c r="B46" s="1">
        <v>441.5390015</v>
      </c>
      <c r="C46" s="1">
        <f t="shared" si="1"/>
        <v>1</v>
      </c>
      <c r="D46" s="1">
        <f t="shared" si="2"/>
        <v>441539.0015</v>
      </c>
      <c r="E46" s="1">
        <v>94.7440033</v>
      </c>
      <c r="F46" s="1">
        <f t="shared" si="3"/>
        <v>418331.7262</v>
      </c>
      <c r="G46" s="1">
        <f t="shared" si="4"/>
        <v>5.2559967</v>
      </c>
      <c r="H46" s="1">
        <v>100.0000004</v>
      </c>
      <c r="I46" s="1">
        <f>if(H46&gt;100, 100, H26)</f>
        <v>100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  <c r="Q46" s="1">
        <v>100.0</v>
      </c>
      <c r="R46" s="1">
        <v>0.0</v>
      </c>
      <c r="S46" s="1">
        <v>0.0</v>
      </c>
      <c r="T46" s="1">
        <v>0.0</v>
      </c>
      <c r="U46" s="2">
        <f t="shared" si="6"/>
        <v>4</v>
      </c>
    </row>
    <row r="47">
      <c r="A47" s="1" t="s">
        <v>29</v>
      </c>
      <c r="B47" s="1">
        <v>540.5419922</v>
      </c>
      <c r="C47" s="1">
        <f t="shared" si="1"/>
        <v>1</v>
      </c>
      <c r="D47" s="1">
        <f t="shared" si="2"/>
        <v>540541.9922</v>
      </c>
      <c r="E47" s="1">
        <v>40.66899872</v>
      </c>
      <c r="F47" s="1">
        <f t="shared" si="3"/>
        <v>219833.0159</v>
      </c>
      <c r="G47" s="1">
        <f t="shared" si="4"/>
        <v>59.33100128</v>
      </c>
      <c r="H47" s="1">
        <v>99.5444386</v>
      </c>
      <c r="I47" s="1">
        <f t="shared" ref="I47:I85" si="11">ROUNDUP(H47,0)</f>
        <v>100</v>
      </c>
      <c r="J47" s="1">
        <v>0.0480506913</v>
      </c>
      <c r="K47" s="1">
        <v>0.407510705</v>
      </c>
      <c r="L47" s="1">
        <v>0.0</v>
      </c>
      <c r="M47" s="1">
        <v>99.9190125</v>
      </c>
      <c r="N47" s="1">
        <v>0.0809875</v>
      </c>
      <c r="O47" s="1">
        <v>0.0</v>
      </c>
      <c r="P47" s="1">
        <v>0.0</v>
      </c>
      <c r="Q47" s="1">
        <v>98.99798893</v>
      </c>
      <c r="R47" s="1">
        <v>0.0</v>
      </c>
      <c r="S47" s="1">
        <v>1.002011069</v>
      </c>
      <c r="T47" s="1">
        <v>0.0</v>
      </c>
      <c r="U47" s="2">
        <f t="shared" si="6"/>
        <v>3</v>
      </c>
    </row>
    <row r="48">
      <c r="A48" s="1" t="s">
        <v>49</v>
      </c>
      <c r="B48" s="1">
        <v>555.9879761</v>
      </c>
      <c r="C48" s="1">
        <f t="shared" si="1"/>
        <v>1</v>
      </c>
      <c r="D48" s="1">
        <f t="shared" si="2"/>
        <v>555987.9761</v>
      </c>
      <c r="E48" s="1">
        <v>66.65200043</v>
      </c>
      <c r="F48" s="1">
        <f t="shared" si="3"/>
        <v>370577.1082</v>
      </c>
      <c r="G48" s="1">
        <f t="shared" si="4"/>
        <v>33.34799957</v>
      </c>
      <c r="H48" s="1">
        <v>88.76960642</v>
      </c>
      <c r="I48" s="1">
        <f t="shared" si="11"/>
        <v>89</v>
      </c>
      <c r="J48" s="1">
        <v>7.904150846</v>
      </c>
      <c r="K48" s="1">
        <v>3.209147716</v>
      </c>
      <c r="L48" s="1">
        <v>0.1170950144</v>
      </c>
      <c r="M48" s="1">
        <v>80.11452544</v>
      </c>
      <c r="N48" s="1">
        <v>9.911127022</v>
      </c>
      <c r="O48" s="1">
        <v>9.623217003</v>
      </c>
      <c r="P48" s="1">
        <v>0.3511305397</v>
      </c>
      <c r="Q48" s="1">
        <v>93.1</v>
      </c>
      <c r="R48" s="1">
        <v>6.9</v>
      </c>
      <c r="S48" s="1">
        <v>0.0</v>
      </c>
      <c r="T48" s="1">
        <v>0.0</v>
      </c>
      <c r="U48" s="2">
        <f t="shared" si="6"/>
        <v>2</v>
      </c>
    </row>
    <row r="49">
      <c r="A49" s="1" t="s">
        <v>29</v>
      </c>
      <c r="B49" s="1">
        <v>586.6339722</v>
      </c>
      <c r="C49" s="1">
        <f t="shared" si="1"/>
        <v>1</v>
      </c>
      <c r="D49" s="1">
        <f t="shared" si="2"/>
        <v>586633.9722</v>
      </c>
      <c r="E49" s="1">
        <v>66.14900208</v>
      </c>
      <c r="F49" s="1">
        <f t="shared" si="3"/>
        <v>388052.5185</v>
      </c>
      <c r="G49" s="1">
        <f t="shared" si="4"/>
        <v>33.85099792</v>
      </c>
      <c r="H49" s="1">
        <v>97.98963167</v>
      </c>
      <c r="I49" s="1">
        <f t="shared" si="11"/>
        <v>98</v>
      </c>
      <c r="J49" s="1">
        <v>1.067246941</v>
      </c>
      <c r="K49" s="1">
        <v>0.3793365073</v>
      </c>
      <c r="L49" s="1">
        <v>0.563784884</v>
      </c>
      <c r="M49" s="1">
        <v>96.57441263</v>
      </c>
      <c r="N49" s="1">
        <v>1.60029586</v>
      </c>
      <c r="O49" s="1">
        <v>0.1598017947</v>
      </c>
      <c r="P49" s="1">
        <v>1.66548972</v>
      </c>
      <c r="Q49" s="1">
        <v>98.71385387</v>
      </c>
      <c r="R49" s="1">
        <v>0.7944652371</v>
      </c>
      <c r="S49" s="1">
        <v>0.4916808925</v>
      </c>
      <c r="T49" s="1">
        <v>0.0</v>
      </c>
      <c r="U49" s="2">
        <f t="shared" si="6"/>
        <v>3</v>
      </c>
    </row>
    <row r="50">
      <c r="A50" s="1" t="s">
        <v>26</v>
      </c>
      <c r="B50" s="1">
        <v>625.9760132</v>
      </c>
      <c r="C50" s="1">
        <f t="shared" si="1"/>
        <v>1</v>
      </c>
      <c r="D50" s="1">
        <f t="shared" si="2"/>
        <v>625976.0132</v>
      </c>
      <c r="E50" s="1">
        <v>91.4529953</v>
      </c>
      <c r="F50" s="1">
        <f t="shared" si="3"/>
        <v>572473.8139</v>
      </c>
      <c r="G50" s="1">
        <f t="shared" si="4"/>
        <v>8.5470047</v>
      </c>
      <c r="H50" s="1">
        <v>99.87993254</v>
      </c>
      <c r="I50" s="1">
        <f t="shared" si="11"/>
        <v>100</v>
      </c>
      <c r="J50" s="1">
        <v>0.0</v>
      </c>
      <c r="K50" s="1">
        <v>0.1200674649</v>
      </c>
      <c r="L50" s="1">
        <v>0.0</v>
      </c>
      <c r="M50" s="1">
        <v>98.5952381</v>
      </c>
      <c r="N50" s="1">
        <v>0.0</v>
      </c>
      <c r="O50" s="1">
        <v>1.404761905</v>
      </c>
      <c r="P50" s="1">
        <v>0.0</v>
      </c>
      <c r="Q50" s="1">
        <v>100.0</v>
      </c>
      <c r="R50" s="1">
        <v>0.0</v>
      </c>
      <c r="S50" s="1">
        <v>0.0</v>
      </c>
      <c r="T50" s="1">
        <v>0.0</v>
      </c>
      <c r="U50" s="2">
        <f t="shared" si="6"/>
        <v>4</v>
      </c>
    </row>
    <row r="51">
      <c r="A51" s="1" t="s">
        <v>29</v>
      </c>
      <c r="B51" s="1">
        <v>628.0620117</v>
      </c>
      <c r="C51" s="1">
        <f t="shared" si="1"/>
        <v>1</v>
      </c>
      <c r="D51" s="1">
        <f t="shared" si="2"/>
        <v>628062.0117</v>
      </c>
      <c r="E51" s="1">
        <v>67.48800659</v>
      </c>
      <c r="F51" s="1">
        <f t="shared" si="3"/>
        <v>423866.5318</v>
      </c>
      <c r="G51" s="1">
        <f t="shared" si="4"/>
        <v>32.51199341</v>
      </c>
      <c r="H51" s="1">
        <v>98.85691652</v>
      </c>
      <c r="I51" s="1">
        <f t="shared" si="11"/>
        <v>99</v>
      </c>
      <c r="J51" s="1">
        <v>0.5454788204</v>
      </c>
      <c r="K51" s="1">
        <v>0.592312011</v>
      </c>
      <c r="L51" s="1">
        <v>0.005292650894</v>
      </c>
      <c r="M51" s="1">
        <v>98.16188754</v>
      </c>
      <c r="N51" s="1">
        <v>0.0</v>
      </c>
      <c r="O51" s="1">
        <v>1.821833386</v>
      </c>
      <c r="P51" s="1">
        <v>0.01627906977</v>
      </c>
      <c r="Q51" s="1">
        <v>99.19173959</v>
      </c>
      <c r="R51" s="1">
        <v>0.8082604128</v>
      </c>
      <c r="S51" s="1">
        <v>0.0</v>
      </c>
      <c r="T51" s="1">
        <v>0.0</v>
      </c>
      <c r="U51" s="2">
        <f t="shared" si="6"/>
        <v>3</v>
      </c>
    </row>
    <row r="52">
      <c r="A52" s="1" t="s">
        <v>26</v>
      </c>
      <c r="B52" s="1">
        <v>649.34198</v>
      </c>
      <c r="C52" s="1">
        <f t="shared" si="1"/>
        <v>1</v>
      </c>
      <c r="D52" s="1">
        <f t="shared" si="2"/>
        <v>649341.98</v>
      </c>
      <c r="E52" s="1">
        <v>100.0</v>
      </c>
      <c r="F52" s="1">
        <f t="shared" si="3"/>
        <v>649341.98</v>
      </c>
      <c r="G52" s="1">
        <f t="shared" si="4"/>
        <v>0</v>
      </c>
      <c r="H52" s="1">
        <v>100.0</v>
      </c>
      <c r="I52" s="1">
        <f t="shared" si="11"/>
        <v>100</v>
      </c>
      <c r="J52" s="1">
        <v>0.0</v>
      </c>
      <c r="K52" s="1">
        <v>0.0</v>
      </c>
      <c r="L52" s="1">
        <v>0.0</v>
      </c>
      <c r="M52" s="1" t="s">
        <v>18</v>
      </c>
      <c r="N52" s="1" t="s">
        <v>18</v>
      </c>
      <c r="O52" s="1" t="s">
        <v>18</v>
      </c>
      <c r="P52" s="1" t="s">
        <v>18</v>
      </c>
      <c r="Q52" s="1">
        <v>100.0</v>
      </c>
      <c r="R52" s="1">
        <v>0.0</v>
      </c>
      <c r="S52" s="1">
        <v>0.0</v>
      </c>
      <c r="T52" s="1">
        <v>0.0</v>
      </c>
      <c r="U52" s="2">
        <f t="shared" si="6"/>
        <v>4</v>
      </c>
    </row>
    <row r="53">
      <c r="A53" s="1" t="s">
        <v>49</v>
      </c>
      <c r="B53" s="1">
        <v>686.8779907</v>
      </c>
      <c r="C53" s="1">
        <f t="shared" si="1"/>
        <v>1</v>
      </c>
      <c r="D53" s="1">
        <f t="shared" si="2"/>
        <v>686877.9907</v>
      </c>
      <c r="E53" s="1">
        <v>24.67000008</v>
      </c>
      <c r="F53" s="1">
        <f t="shared" si="3"/>
        <v>169452.8009</v>
      </c>
      <c r="G53" s="1">
        <f t="shared" si="4"/>
        <v>75.32999992</v>
      </c>
      <c r="H53" s="1">
        <v>67.30102554</v>
      </c>
      <c r="I53" s="1">
        <f t="shared" si="11"/>
        <v>68</v>
      </c>
      <c r="J53" s="1">
        <v>5.79547831</v>
      </c>
      <c r="K53" s="1">
        <v>21.26784313</v>
      </c>
      <c r="L53" s="1">
        <v>5.635653025</v>
      </c>
      <c r="M53" s="1">
        <v>59.40526749</v>
      </c>
      <c r="N53" s="1">
        <v>6.528523649</v>
      </c>
      <c r="O53" s="1">
        <v>26.955911</v>
      </c>
      <c r="P53" s="1">
        <v>7.110297857</v>
      </c>
      <c r="Q53" s="1">
        <v>91.41077689</v>
      </c>
      <c r="R53" s="1">
        <v>3.557120425</v>
      </c>
      <c r="S53" s="1">
        <v>3.899286137</v>
      </c>
      <c r="T53" s="1">
        <v>1.132816553</v>
      </c>
      <c r="U53" s="2">
        <f t="shared" si="6"/>
        <v>2</v>
      </c>
    </row>
    <row r="54">
      <c r="A54" s="1" t="s">
        <v>49</v>
      </c>
      <c r="B54" s="1">
        <v>771.6119995</v>
      </c>
      <c r="C54" s="1">
        <f t="shared" si="1"/>
        <v>1</v>
      </c>
      <c r="D54" s="1">
        <f t="shared" si="2"/>
        <v>771611.9995</v>
      </c>
      <c r="E54" s="1">
        <v>42.31599808</v>
      </c>
      <c r="F54" s="1">
        <f t="shared" si="3"/>
        <v>326515.3189</v>
      </c>
      <c r="G54" s="1">
        <f t="shared" si="4"/>
        <v>57.68400192</v>
      </c>
      <c r="H54" s="1">
        <v>97.31322263</v>
      </c>
      <c r="I54" s="1">
        <f t="shared" si="11"/>
        <v>98</v>
      </c>
      <c r="J54" s="1">
        <v>2.460712607</v>
      </c>
      <c r="K54" s="1">
        <v>0.1764242183</v>
      </c>
      <c r="L54" s="1">
        <v>0.04964054142</v>
      </c>
      <c r="M54" s="1">
        <v>96.73119365</v>
      </c>
      <c r="N54" s="1">
        <v>3.268806351</v>
      </c>
      <c r="O54" s="1">
        <v>0.0</v>
      </c>
      <c r="P54" s="1">
        <v>0.0</v>
      </c>
      <c r="Q54" s="1">
        <v>98.10662849</v>
      </c>
      <c r="R54" s="1">
        <v>1.3591415</v>
      </c>
      <c r="S54" s="1">
        <v>0.4169208475</v>
      </c>
      <c r="T54" s="1">
        <v>0.1173091586</v>
      </c>
      <c r="U54" s="2">
        <f t="shared" si="6"/>
        <v>2</v>
      </c>
    </row>
    <row r="55">
      <c r="A55" s="1" t="s">
        <v>29</v>
      </c>
      <c r="B55" s="1">
        <v>786.559021</v>
      </c>
      <c r="C55" s="1">
        <f t="shared" si="1"/>
        <v>1</v>
      </c>
      <c r="D55" s="1">
        <f t="shared" si="2"/>
        <v>786559.021</v>
      </c>
      <c r="E55" s="1">
        <v>26.7859993</v>
      </c>
      <c r="F55" s="1">
        <f t="shared" si="3"/>
        <v>210687.6939</v>
      </c>
      <c r="G55" s="1">
        <f t="shared" si="4"/>
        <v>73.2140007</v>
      </c>
      <c r="H55" s="1">
        <v>95.55480685</v>
      </c>
      <c r="I55" s="1">
        <f t="shared" si="11"/>
        <v>96</v>
      </c>
      <c r="J55" s="1">
        <v>1.205244408</v>
      </c>
      <c r="K55" s="1">
        <v>1.143069849</v>
      </c>
      <c r="L55" s="1">
        <v>2.096878897</v>
      </c>
      <c r="M55" s="1">
        <v>93.9284905</v>
      </c>
      <c r="N55" s="1">
        <v>1.646193862</v>
      </c>
      <c r="O55" s="1">
        <v>1.561274833</v>
      </c>
      <c r="P55" s="1">
        <v>2.864040809</v>
      </c>
      <c r="Q55" s="1">
        <v>100.0</v>
      </c>
      <c r="R55" s="1">
        <v>0.0</v>
      </c>
      <c r="S55" s="1">
        <v>0.0</v>
      </c>
      <c r="T55" s="1">
        <v>0.0</v>
      </c>
      <c r="U55" s="2">
        <f t="shared" si="6"/>
        <v>3</v>
      </c>
    </row>
    <row r="56">
      <c r="A56" s="1" t="s">
        <v>18</v>
      </c>
      <c r="B56" s="1">
        <v>895.3079834</v>
      </c>
      <c r="C56" s="1">
        <f t="shared" si="1"/>
        <v>1</v>
      </c>
      <c r="D56" s="1">
        <f t="shared" si="2"/>
        <v>895307.9834</v>
      </c>
      <c r="E56" s="1">
        <v>99.65900421</v>
      </c>
      <c r="F56" s="1">
        <f t="shared" si="3"/>
        <v>892255.0209</v>
      </c>
      <c r="G56" s="1">
        <f t="shared" si="4"/>
        <v>0.34099579</v>
      </c>
      <c r="H56" s="1">
        <v>100.0</v>
      </c>
      <c r="I56" s="1">
        <f t="shared" si="11"/>
        <v>100</v>
      </c>
      <c r="J56" s="1">
        <v>0.0</v>
      </c>
      <c r="K56" s="1">
        <v>0.0</v>
      </c>
      <c r="L56" s="1">
        <v>0.0</v>
      </c>
      <c r="M56" s="1" t="s">
        <v>18</v>
      </c>
      <c r="N56" s="1" t="s">
        <v>18</v>
      </c>
      <c r="O56" s="1" t="s">
        <v>18</v>
      </c>
      <c r="P56" s="1" t="s">
        <v>18</v>
      </c>
      <c r="Q56" s="1" t="s">
        <v>18</v>
      </c>
      <c r="R56" s="1" t="s">
        <v>18</v>
      </c>
      <c r="S56" s="1" t="s">
        <v>18</v>
      </c>
      <c r="T56" s="1" t="s">
        <v>18</v>
      </c>
      <c r="U56" s="2">
        <f t="shared" si="6"/>
        <v>0</v>
      </c>
    </row>
    <row r="57">
      <c r="A57" s="1" t="s">
        <v>29</v>
      </c>
      <c r="B57" s="1">
        <v>896.4439697</v>
      </c>
      <c r="C57" s="1">
        <f t="shared" si="1"/>
        <v>1</v>
      </c>
      <c r="D57" s="1">
        <f t="shared" si="2"/>
        <v>896443.9697</v>
      </c>
      <c r="E57" s="1">
        <v>57.24700546</v>
      </c>
      <c r="F57" s="1">
        <f t="shared" si="3"/>
        <v>513187.3283</v>
      </c>
      <c r="G57" s="1">
        <f t="shared" si="4"/>
        <v>42.75299454</v>
      </c>
      <c r="H57" s="1">
        <v>94.30106524</v>
      </c>
      <c r="I57" s="1">
        <f t="shared" si="11"/>
        <v>95</v>
      </c>
      <c r="J57" s="1">
        <v>0.0</v>
      </c>
      <c r="K57" s="1">
        <v>3.318602766</v>
      </c>
      <c r="L57" s="1">
        <v>2.380331999</v>
      </c>
      <c r="M57" s="1">
        <v>89.08802405</v>
      </c>
      <c r="N57" s="1">
        <v>0.0</v>
      </c>
      <c r="O57" s="1">
        <v>5.759897938</v>
      </c>
      <c r="P57" s="1">
        <v>5.152078012</v>
      </c>
      <c r="Q57" s="1">
        <v>98.19424406</v>
      </c>
      <c r="R57" s="1">
        <v>0.0</v>
      </c>
      <c r="S57" s="1">
        <v>1.495409344</v>
      </c>
      <c r="T57" s="1">
        <v>0.3103465922</v>
      </c>
      <c r="U57" s="2">
        <f t="shared" si="6"/>
        <v>3</v>
      </c>
    </row>
    <row r="58">
      <c r="A58" s="1" t="s">
        <v>49</v>
      </c>
      <c r="B58" s="1">
        <v>988.0020142</v>
      </c>
      <c r="C58" s="1">
        <f t="shared" si="1"/>
        <v>1</v>
      </c>
      <c r="D58" s="1">
        <f t="shared" si="2"/>
        <v>988002.0142</v>
      </c>
      <c r="E58" s="1">
        <v>78.06199646</v>
      </c>
      <c r="F58" s="1">
        <f t="shared" si="3"/>
        <v>771254.0973</v>
      </c>
      <c r="G58" s="1">
        <f t="shared" si="4"/>
        <v>21.93800354</v>
      </c>
      <c r="H58" s="1">
        <v>76.04992021</v>
      </c>
      <c r="I58" s="1">
        <f t="shared" si="11"/>
        <v>77</v>
      </c>
      <c r="J58" s="1">
        <v>14.7574817</v>
      </c>
      <c r="K58" s="1">
        <v>7.015876051</v>
      </c>
      <c r="L58" s="1">
        <v>2.176722038</v>
      </c>
      <c r="M58" s="1">
        <v>47.28073293</v>
      </c>
      <c r="N58" s="1">
        <v>12.06161014</v>
      </c>
      <c r="O58" s="1">
        <v>30.73550468</v>
      </c>
      <c r="P58" s="1">
        <v>9.922152249</v>
      </c>
      <c r="Q58" s="1">
        <v>84.13501493</v>
      </c>
      <c r="R58" s="1">
        <v>15.51511107</v>
      </c>
      <c r="S58" s="1">
        <v>0.3498740029</v>
      </c>
      <c r="T58" s="1">
        <v>0.0</v>
      </c>
      <c r="U58" s="2">
        <f t="shared" si="6"/>
        <v>2</v>
      </c>
    </row>
    <row r="59">
      <c r="A59" s="1" t="s">
        <v>49</v>
      </c>
      <c r="B59" s="1">
        <v>1160.16394</v>
      </c>
      <c r="C59" s="1">
        <f t="shared" si="1"/>
        <v>2</v>
      </c>
      <c r="D59" s="1">
        <f t="shared" si="2"/>
        <v>1160163.94</v>
      </c>
      <c r="E59" s="1">
        <v>24.17100143</v>
      </c>
      <c r="F59" s="1">
        <f t="shared" si="3"/>
        <v>280423.2425</v>
      </c>
      <c r="G59" s="1">
        <f t="shared" si="4"/>
        <v>75.82899857</v>
      </c>
      <c r="H59" s="1">
        <v>70.75307095</v>
      </c>
      <c r="I59" s="1">
        <f t="shared" si="11"/>
        <v>71</v>
      </c>
      <c r="J59" s="1">
        <v>9.507067163</v>
      </c>
      <c r="K59" s="1">
        <v>9.835567931</v>
      </c>
      <c r="L59" s="1">
        <v>9.904293959</v>
      </c>
      <c r="M59" s="1">
        <v>62.46644874</v>
      </c>
      <c r="N59" s="1">
        <v>12.29969513</v>
      </c>
      <c r="O59" s="1">
        <v>12.45046093</v>
      </c>
      <c r="P59" s="1">
        <v>12.78339519</v>
      </c>
      <c r="Q59" s="1">
        <v>96.74976305</v>
      </c>
      <c r="R59" s="1">
        <v>0.7460644731</v>
      </c>
      <c r="S59" s="1">
        <v>1.632164244</v>
      </c>
      <c r="T59" s="1">
        <v>0.8720082294</v>
      </c>
      <c r="U59" s="2">
        <f t="shared" si="6"/>
        <v>2</v>
      </c>
    </row>
    <row r="60">
      <c r="A60" s="1" t="s">
        <v>26</v>
      </c>
      <c r="B60" s="1">
        <v>1207.360962</v>
      </c>
      <c r="C60" s="1">
        <f t="shared" si="1"/>
        <v>2</v>
      </c>
      <c r="D60" s="1">
        <f t="shared" si="2"/>
        <v>1207360.962</v>
      </c>
      <c r="E60" s="1">
        <v>66.82099915</v>
      </c>
      <c r="F60" s="1">
        <f t="shared" si="3"/>
        <v>806770.6582</v>
      </c>
      <c r="G60" s="1">
        <f t="shared" si="4"/>
        <v>33.17900085</v>
      </c>
      <c r="H60" s="1">
        <v>99.76517318</v>
      </c>
      <c r="I60" s="1">
        <f t="shared" si="11"/>
        <v>100</v>
      </c>
      <c r="J60" s="1">
        <v>0.0</v>
      </c>
      <c r="K60" s="1">
        <v>0.2348268167</v>
      </c>
      <c r="L60" s="1">
        <v>0.0</v>
      </c>
      <c r="M60" s="1">
        <v>99.84576172</v>
      </c>
      <c r="N60" s="1">
        <v>0.0</v>
      </c>
      <c r="O60" s="1">
        <v>0.1542382836</v>
      </c>
      <c r="P60" s="1">
        <v>0.0</v>
      </c>
      <c r="Q60" s="1">
        <v>99.72515812</v>
      </c>
      <c r="R60" s="1">
        <v>0.0</v>
      </c>
      <c r="S60" s="1">
        <v>0.2748418825</v>
      </c>
      <c r="T60" s="1">
        <v>0.0</v>
      </c>
      <c r="U60" s="2">
        <f t="shared" si="6"/>
        <v>4</v>
      </c>
    </row>
    <row r="61">
      <c r="A61" s="1" t="s">
        <v>29</v>
      </c>
      <c r="B61" s="1">
        <v>1271.766968</v>
      </c>
      <c r="C61" s="1">
        <f t="shared" si="1"/>
        <v>2</v>
      </c>
      <c r="D61" s="1">
        <f t="shared" si="2"/>
        <v>1271766.968</v>
      </c>
      <c r="E61" s="1">
        <v>40.75999832</v>
      </c>
      <c r="F61" s="1">
        <f t="shared" si="3"/>
        <v>518372.1948</v>
      </c>
      <c r="G61" s="1">
        <f t="shared" si="4"/>
        <v>59.24000168</v>
      </c>
      <c r="H61" s="1">
        <v>99.8662547</v>
      </c>
      <c r="I61" s="1">
        <f t="shared" si="11"/>
        <v>100</v>
      </c>
      <c r="J61" s="1">
        <v>0.0</v>
      </c>
      <c r="K61" s="1">
        <v>0.1337453014</v>
      </c>
      <c r="L61" s="1">
        <v>0.0</v>
      </c>
      <c r="M61" s="1">
        <v>99.82768234</v>
      </c>
      <c r="N61" s="1">
        <v>0.0</v>
      </c>
      <c r="O61" s="1">
        <v>0.1723176618</v>
      </c>
      <c r="P61" s="1">
        <v>0.0</v>
      </c>
      <c r="Q61" s="1">
        <v>99.92231522</v>
      </c>
      <c r="R61" s="1">
        <v>0.0</v>
      </c>
      <c r="S61" s="1">
        <v>0.07768478119</v>
      </c>
      <c r="T61" s="1">
        <v>0.0</v>
      </c>
      <c r="U61" s="2">
        <f t="shared" si="6"/>
        <v>3</v>
      </c>
    </row>
    <row r="62">
      <c r="A62" s="1" t="s">
        <v>49</v>
      </c>
      <c r="B62" s="1">
        <v>1318.442017</v>
      </c>
      <c r="C62" s="1">
        <f t="shared" si="1"/>
        <v>2</v>
      </c>
      <c r="D62" s="1">
        <f t="shared" si="2"/>
        <v>1318442.017</v>
      </c>
      <c r="E62" s="1">
        <v>31.31999969</v>
      </c>
      <c r="F62" s="1">
        <f t="shared" si="3"/>
        <v>412936.0356</v>
      </c>
      <c r="G62" s="1">
        <f t="shared" si="4"/>
        <v>68.68000031</v>
      </c>
      <c r="H62" s="1">
        <v>85.4956012</v>
      </c>
      <c r="I62" s="1">
        <f t="shared" si="11"/>
        <v>86</v>
      </c>
      <c r="J62" s="1">
        <v>1.88586597</v>
      </c>
      <c r="K62" s="1">
        <v>8.360029397</v>
      </c>
      <c r="L62" s="1">
        <v>4.258503433</v>
      </c>
      <c r="M62" s="1">
        <v>80.48779562</v>
      </c>
      <c r="N62" s="1">
        <v>2.049364675</v>
      </c>
      <c r="O62" s="1">
        <v>11.26233968</v>
      </c>
      <c r="P62" s="1">
        <v>6.200500018</v>
      </c>
      <c r="Q62" s="1">
        <v>96.47695792</v>
      </c>
      <c r="R62" s="1">
        <v>1.527338152</v>
      </c>
      <c r="S62" s="1">
        <v>1.995703929</v>
      </c>
      <c r="T62" s="1">
        <v>0.0</v>
      </c>
      <c r="U62" s="2">
        <f t="shared" si="6"/>
        <v>2</v>
      </c>
    </row>
    <row r="63">
      <c r="A63" s="1" t="s">
        <v>26</v>
      </c>
      <c r="B63" s="1">
        <v>1326.53894</v>
      </c>
      <c r="C63" s="1">
        <f t="shared" si="1"/>
        <v>2</v>
      </c>
      <c r="D63" s="1">
        <f t="shared" si="2"/>
        <v>1326538.94</v>
      </c>
      <c r="E63" s="1">
        <v>69.22900391</v>
      </c>
      <c r="F63" s="1">
        <f t="shared" si="3"/>
        <v>918349.6946</v>
      </c>
      <c r="G63" s="1">
        <f t="shared" si="4"/>
        <v>30.77099609</v>
      </c>
      <c r="H63" s="1">
        <v>99.59078178</v>
      </c>
      <c r="I63" s="1">
        <f t="shared" si="11"/>
        <v>100</v>
      </c>
      <c r="J63" s="1">
        <v>0.0</v>
      </c>
      <c r="K63" s="1">
        <v>0.4092182232</v>
      </c>
      <c r="L63" s="1">
        <v>0.0</v>
      </c>
      <c r="M63" s="1" t="s">
        <v>18</v>
      </c>
      <c r="N63" s="1" t="s">
        <v>18</v>
      </c>
      <c r="O63" s="1" t="s">
        <v>18</v>
      </c>
      <c r="P63" s="1" t="s">
        <v>18</v>
      </c>
      <c r="Q63" s="1">
        <v>99.98545421</v>
      </c>
      <c r="R63" s="1">
        <v>0.0</v>
      </c>
      <c r="S63" s="1">
        <v>0.01454579307</v>
      </c>
      <c r="T63" s="1">
        <v>0.0</v>
      </c>
      <c r="U63" s="2">
        <f t="shared" si="6"/>
        <v>4</v>
      </c>
    </row>
    <row r="64">
      <c r="A64" s="1" t="s">
        <v>26</v>
      </c>
      <c r="B64" s="1">
        <v>1399.490967</v>
      </c>
      <c r="C64" s="1">
        <f t="shared" si="1"/>
        <v>2</v>
      </c>
      <c r="D64" s="1">
        <f t="shared" si="2"/>
        <v>1399490.967</v>
      </c>
      <c r="E64" s="1">
        <v>53.2140007</v>
      </c>
      <c r="F64" s="1">
        <f t="shared" si="3"/>
        <v>744725.133</v>
      </c>
      <c r="G64" s="1">
        <f t="shared" si="4"/>
        <v>46.7859993</v>
      </c>
      <c r="H64" s="1">
        <v>98.87517077</v>
      </c>
      <c r="I64" s="1">
        <f t="shared" si="11"/>
        <v>99</v>
      </c>
      <c r="J64" s="1">
        <v>1.124829231</v>
      </c>
      <c r="K64" s="1">
        <v>0.0</v>
      </c>
      <c r="L64" s="1">
        <v>0.0</v>
      </c>
      <c r="M64" s="1" t="s">
        <v>18</v>
      </c>
      <c r="N64" s="1" t="s">
        <v>18</v>
      </c>
      <c r="O64" s="1" t="s">
        <v>18</v>
      </c>
      <c r="P64" s="1" t="s">
        <v>18</v>
      </c>
      <c r="Q64" s="1" t="s">
        <v>18</v>
      </c>
      <c r="R64" s="1" t="s">
        <v>18</v>
      </c>
      <c r="S64" s="1" t="s">
        <v>18</v>
      </c>
      <c r="T64" s="1" t="s">
        <v>18</v>
      </c>
      <c r="U64" s="2">
        <f t="shared" si="6"/>
        <v>4</v>
      </c>
    </row>
    <row r="65">
      <c r="A65" s="1" t="s">
        <v>26</v>
      </c>
      <c r="B65" s="1">
        <v>1701.583008</v>
      </c>
      <c r="C65" s="1">
        <f t="shared" si="1"/>
        <v>2</v>
      </c>
      <c r="D65" s="1">
        <f t="shared" si="2"/>
        <v>1701583.008</v>
      </c>
      <c r="E65" s="1">
        <v>89.50600433</v>
      </c>
      <c r="F65" s="1">
        <f t="shared" si="3"/>
        <v>1523018.961</v>
      </c>
      <c r="G65" s="1">
        <f t="shared" si="4"/>
        <v>10.49399567</v>
      </c>
      <c r="H65" s="1">
        <v>100.0</v>
      </c>
      <c r="I65" s="1">
        <f t="shared" si="11"/>
        <v>100</v>
      </c>
      <c r="J65" s="1">
        <v>0.0</v>
      </c>
      <c r="K65" s="1">
        <v>0.0</v>
      </c>
      <c r="L65" s="1">
        <v>0.0</v>
      </c>
      <c r="M65" s="1" t="s">
        <v>18</v>
      </c>
      <c r="N65" s="1" t="s">
        <v>18</v>
      </c>
      <c r="O65" s="1" t="s">
        <v>18</v>
      </c>
      <c r="P65" s="1" t="s">
        <v>18</v>
      </c>
      <c r="Q65" s="1" t="s">
        <v>18</v>
      </c>
      <c r="R65" s="1" t="s">
        <v>18</v>
      </c>
      <c r="S65" s="1" t="s">
        <v>18</v>
      </c>
      <c r="T65" s="1" t="s">
        <v>18</v>
      </c>
      <c r="U65" s="2">
        <f t="shared" si="6"/>
        <v>4</v>
      </c>
    </row>
    <row r="66">
      <c r="A66" s="1" t="s">
        <v>26</v>
      </c>
      <c r="B66" s="1">
        <v>1886.202026</v>
      </c>
      <c r="C66" s="1">
        <f t="shared" si="1"/>
        <v>2</v>
      </c>
      <c r="D66" s="1">
        <f t="shared" si="2"/>
        <v>1886202.026</v>
      </c>
      <c r="E66" s="1">
        <v>68.31500244</v>
      </c>
      <c r="F66" s="1">
        <f t="shared" si="3"/>
        <v>1288558.96</v>
      </c>
      <c r="G66" s="1">
        <f t="shared" si="4"/>
        <v>31.68499756</v>
      </c>
      <c r="H66" s="1">
        <v>98.78260115</v>
      </c>
      <c r="I66" s="1">
        <f t="shared" si="11"/>
        <v>99</v>
      </c>
      <c r="J66" s="1">
        <v>0.6823007424</v>
      </c>
      <c r="K66" s="1">
        <v>0.5350981037</v>
      </c>
      <c r="L66" s="1">
        <v>0.0</v>
      </c>
      <c r="M66" s="1">
        <v>98.57922314</v>
      </c>
      <c r="N66" s="1">
        <v>0.0</v>
      </c>
      <c r="O66" s="1">
        <v>1.42077686</v>
      </c>
      <c r="P66" s="1">
        <v>0.0</v>
      </c>
      <c r="Q66" s="1">
        <v>98.87692469</v>
      </c>
      <c r="R66" s="1">
        <v>0.9987568151</v>
      </c>
      <c r="S66" s="1">
        <v>0.1243184908</v>
      </c>
      <c r="T66" s="1">
        <v>0.0</v>
      </c>
      <c r="U66" s="2">
        <f t="shared" si="6"/>
        <v>4</v>
      </c>
    </row>
    <row r="67">
      <c r="A67" s="1" t="s">
        <v>87</v>
      </c>
      <c r="B67" s="1">
        <v>1967.998047</v>
      </c>
      <c r="C67" s="1">
        <f t="shared" si="1"/>
        <v>2</v>
      </c>
      <c r="D67" s="1">
        <f t="shared" si="2"/>
        <v>1967998.047</v>
      </c>
      <c r="E67" s="1">
        <v>44.19599915</v>
      </c>
      <c r="F67" s="1">
        <f t="shared" si="3"/>
        <v>869776.4001</v>
      </c>
      <c r="G67" s="1">
        <f t="shared" si="4"/>
        <v>55.80400085</v>
      </c>
      <c r="H67" s="1">
        <v>59.01691221</v>
      </c>
      <c r="I67" s="1">
        <f t="shared" si="11"/>
        <v>60</v>
      </c>
      <c r="J67" s="1">
        <v>14.03457137</v>
      </c>
      <c r="K67" s="1">
        <v>26.6263769</v>
      </c>
      <c r="L67" s="1">
        <v>0.3221395192</v>
      </c>
      <c r="M67" s="1">
        <v>49.8319053</v>
      </c>
      <c r="N67" s="1">
        <v>9.285773026</v>
      </c>
      <c r="O67" s="1">
        <v>40.31645129</v>
      </c>
      <c r="P67" s="1">
        <v>0.5658703845</v>
      </c>
      <c r="Q67" s="1">
        <v>70.61434791</v>
      </c>
      <c r="R67" s="1">
        <v>20.03063358</v>
      </c>
      <c r="S67" s="1">
        <v>9.340625284</v>
      </c>
      <c r="T67" s="1">
        <v>0.01439322693</v>
      </c>
      <c r="U67" s="2">
        <f t="shared" si="6"/>
        <v>1</v>
      </c>
    </row>
    <row r="68">
      <c r="A68" s="1" t="s">
        <v>26</v>
      </c>
      <c r="B68" s="1">
        <v>2078.931885</v>
      </c>
      <c r="C68" s="1">
        <f t="shared" si="1"/>
        <v>3</v>
      </c>
      <c r="D68" s="1">
        <f t="shared" si="2"/>
        <v>2078931.885</v>
      </c>
      <c r="E68" s="1">
        <v>55.11800385</v>
      </c>
      <c r="F68" s="1">
        <f t="shared" si="3"/>
        <v>1145865.756</v>
      </c>
      <c r="G68" s="1">
        <f t="shared" si="4"/>
        <v>44.88199615</v>
      </c>
      <c r="H68" s="1">
        <v>99.5</v>
      </c>
      <c r="I68" s="1">
        <f t="shared" si="11"/>
        <v>100</v>
      </c>
      <c r="J68" s="1">
        <v>0.0</v>
      </c>
      <c r="K68" s="1">
        <v>0.5</v>
      </c>
      <c r="L68" s="1">
        <v>0.0</v>
      </c>
      <c r="M68" s="1" t="s">
        <v>18</v>
      </c>
      <c r="N68" s="1" t="s">
        <v>18</v>
      </c>
      <c r="O68" s="1" t="s">
        <v>18</v>
      </c>
      <c r="P68" s="1" t="s">
        <v>18</v>
      </c>
      <c r="Q68" s="1" t="s">
        <v>18</v>
      </c>
      <c r="R68" s="1" t="s">
        <v>18</v>
      </c>
      <c r="S68" s="1" t="s">
        <v>18</v>
      </c>
      <c r="T68" s="1" t="s">
        <v>18</v>
      </c>
      <c r="U68" s="2">
        <f t="shared" si="6"/>
        <v>4</v>
      </c>
    </row>
    <row r="69">
      <c r="A69" s="1" t="s">
        <v>29</v>
      </c>
      <c r="B69" s="1">
        <v>2083.379883</v>
      </c>
      <c r="C69" s="1">
        <f t="shared" si="1"/>
        <v>3</v>
      </c>
      <c r="D69" s="1">
        <f t="shared" si="2"/>
        <v>2083379.883</v>
      </c>
      <c r="E69" s="1">
        <v>58.48199844</v>
      </c>
      <c r="F69" s="1">
        <f t="shared" si="3"/>
        <v>1218402.191</v>
      </c>
      <c r="G69" s="1">
        <f t="shared" si="4"/>
        <v>41.51800156</v>
      </c>
      <c r="H69" s="1">
        <v>97.74281579</v>
      </c>
      <c r="I69" s="1">
        <f t="shared" si="11"/>
        <v>98</v>
      </c>
      <c r="J69" s="1">
        <v>1.63499414</v>
      </c>
      <c r="K69" s="1">
        <v>0.5742284762</v>
      </c>
      <c r="L69" s="1">
        <v>0.04796159706</v>
      </c>
      <c r="M69" s="1">
        <v>97.46871457</v>
      </c>
      <c r="N69" s="1">
        <v>1.505202232</v>
      </c>
      <c r="O69" s="1">
        <v>0.9105631982</v>
      </c>
      <c r="P69" s="1">
        <v>0.11552</v>
      </c>
      <c r="Q69" s="1">
        <v>97.93740299</v>
      </c>
      <c r="R69" s="1">
        <v>1.727136954</v>
      </c>
      <c r="S69" s="1">
        <v>0.3354600563</v>
      </c>
      <c r="T69" s="1">
        <v>0.0</v>
      </c>
      <c r="U69" s="2">
        <f t="shared" si="6"/>
        <v>3</v>
      </c>
    </row>
    <row r="70">
      <c r="A70" s="1" t="s">
        <v>49</v>
      </c>
      <c r="B70" s="1">
        <v>2142.251953</v>
      </c>
      <c r="C70" s="1">
        <f t="shared" si="1"/>
        <v>3</v>
      </c>
      <c r="D70" s="1">
        <f t="shared" si="2"/>
        <v>2142251.953</v>
      </c>
      <c r="E70" s="1">
        <v>29.02799988</v>
      </c>
      <c r="F70" s="1">
        <f t="shared" si="3"/>
        <v>621852.8943</v>
      </c>
      <c r="G70" s="1">
        <f t="shared" si="4"/>
        <v>70.97200012</v>
      </c>
      <c r="H70" s="1">
        <v>72.17603927</v>
      </c>
      <c r="I70" s="1">
        <f t="shared" si="11"/>
        <v>73</v>
      </c>
      <c r="J70" s="1">
        <v>10.40592597</v>
      </c>
      <c r="K70" s="1">
        <v>12.21725464</v>
      </c>
      <c r="L70" s="1">
        <v>5.200780116</v>
      </c>
      <c r="M70" s="1">
        <v>63.65035482</v>
      </c>
      <c r="N70" s="1">
        <v>13.55843013</v>
      </c>
      <c r="O70" s="1">
        <v>15.73132479</v>
      </c>
      <c r="P70" s="1">
        <v>7.059890254</v>
      </c>
      <c r="Q70" s="1">
        <v>93.02090855</v>
      </c>
      <c r="R70" s="1">
        <v>2.698211997</v>
      </c>
      <c r="S70" s="1">
        <v>3.625530038</v>
      </c>
      <c r="T70" s="1">
        <v>0.65534942</v>
      </c>
      <c r="U70" s="2">
        <f t="shared" si="6"/>
        <v>2</v>
      </c>
    </row>
    <row r="71">
      <c r="A71" s="1" t="s">
        <v>29</v>
      </c>
      <c r="B71" s="1">
        <v>2225.728027</v>
      </c>
      <c r="C71" s="1">
        <f t="shared" si="1"/>
        <v>3</v>
      </c>
      <c r="D71" s="1">
        <f t="shared" si="2"/>
        <v>2225728.027</v>
      </c>
      <c r="E71" s="1">
        <v>90.09200287</v>
      </c>
      <c r="F71" s="1">
        <f t="shared" si="3"/>
        <v>2005202.958</v>
      </c>
      <c r="G71" s="1">
        <f t="shared" si="4"/>
        <v>9.90799713</v>
      </c>
      <c r="H71" s="1">
        <v>85.3419306</v>
      </c>
      <c r="I71" s="1">
        <f t="shared" si="11"/>
        <v>86</v>
      </c>
      <c r="J71" s="1">
        <v>7.735263103</v>
      </c>
      <c r="K71" s="1">
        <v>6.922808357</v>
      </c>
      <c r="L71" s="1" t="s">
        <v>18</v>
      </c>
      <c r="M71" s="1">
        <v>44.74588901</v>
      </c>
      <c r="N71" s="1">
        <v>10.51114859</v>
      </c>
      <c r="O71" s="1">
        <v>44.7429624</v>
      </c>
      <c r="P71" s="1" t="s">
        <v>18</v>
      </c>
      <c r="Q71" s="1">
        <v>89.80653917</v>
      </c>
      <c r="R71" s="1">
        <v>7.42998076</v>
      </c>
      <c r="S71" s="1">
        <v>2.763480072</v>
      </c>
      <c r="T71" s="1" t="s">
        <v>18</v>
      </c>
      <c r="U71" s="2">
        <f t="shared" si="6"/>
        <v>3</v>
      </c>
    </row>
    <row r="72">
      <c r="A72" s="1" t="s">
        <v>29</v>
      </c>
      <c r="B72" s="1">
        <v>2351.625</v>
      </c>
      <c r="C72" s="1">
        <f t="shared" si="1"/>
        <v>3</v>
      </c>
      <c r="D72" s="1">
        <f t="shared" si="2"/>
        <v>2351625</v>
      </c>
      <c r="E72" s="1">
        <v>70.8769989</v>
      </c>
      <c r="F72" s="1">
        <f t="shared" si="3"/>
        <v>1666761.225</v>
      </c>
      <c r="G72" s="1">
        <f t="shared" si="4"/>
        <v>29.1230011</v>
      </c>
      <c r="H72" s="1">
        <v>92.21356307</v>
      </c>
      <c r="I72" s="1">
        <f t="shared" si="11"/>
        <v>93</v>
      </c>
      <c r="J72" s="1">
        <v>4.72303897</v>
      </c>
      <c r="K72" s="1">
        <v>1.732526476</v>
      </c>
      <c r="L72" s="1">
        <v>1.330871481</v>
      </c>
      <c r="M72" s="1">
        <v>79.04372386</v>
      </c>
      <c r="N72" s="1">
        <v>15.15494718</v>
      </c>
      <c r="O72" s="1">
        <v>1.596119156</v>
      </c>
      <c r="P72" s="1">
        <v>4.20520981</v>
      </c>
      <c r="Q72" s="1">
        <v>97.62498058</v>
      </c>
      <c r="R72" s="1">
        <v>0.4366200322</v>
      </c>
      <c r="S72" s="1">
        <v>1.788579159</v>
      </c>
      <c r="T72" s="1">
        <v>0.1498202281</v>
      </c>
      <c r="U72" s="2">
        <f t="shared" si="6"/>
        <v>3</v>
      </c>
    </row>
    <row r="73">
      <c r="A73" s="1" t="s">
        <v>87</v>
      </c>
      <c r="B73" s="1">
        <v>2416.664063</v>
      </c>
      <c r="C73" s="1">
        <f t="shared" si="1"/>
        <v>3</v>
      </c>
      <c r="D73" s="1">
        <f t="shared" si="2"/>
        <v>2416664.063</v>
      </c>
      <c r="E73" s="1">
        <v>62.58199692</v>
      </c>
      <c r="F73" s="1">
        <f t="shared" si="3"/>
        <v>1512396.629</v>
      </c>
      <c r="G73" s="1">
        <f t="shared" si="4"/>
        <v>37.41800308</v>
      </c>
      <c r="H73" s="1">
        <v>80.94040714</v>
      </c>
      <c r="I73" s="1">
        <f t="shared" si="11"/>
        <v>81</v>
      </c>
      <c r="J73" s="1">
        <v>8.597391391</v>
      </c>
      <c r="K73" s="1">
        <v>10.35285207</v>
      </c>
      <c r="L73" s="1">
        <v>0.1093493927</v>
      </c>
      <c r="M73" s="1">
        <v>69.18852321</v>
      </c>
      <c r="N73" s="1">
        <v>16.49783239</v>
      </c>
      <c r="O73" s="1">
        <v>14.24376547</v>
      </c>
      <c r="P73" s="1">
        <v>0.0698789368</v>
      </c>
      <c r="Q73" s="1">
        <v>87.96690427</v>
      </c>
      <c r="R73" s="1">
        <v>3.873689522</v>
      </c>
      <c r="S73" s="1">
        <v>8.026457278</v>
      </c>
      <c r="T73" s="1">
        <v>0.1329489253</v>
      </c>
      <c r="U73" s="2">
        <f t="shared" si="6"/>
        <v>1</v>
      </c>
    </row>
    <row r="74">
      <c r="A74" s="1" t="s">
        <v>29</v>
      </c>
      <c r="B74" s="1">
        <v>2540.916016</v>
      </c>
      <c r="C74" s="1">
        <f t="shared" si="1"/>
        <v>3</v>
      </c>
      <c r="D74" s="1">
        <f t="shared" si="2"/>
        <v>2540916.016</v>
      </c>
      <c r="E74" s="1">
        <v>52.03300095</v>
      </c>
      <c r="F74" s="1">
        <f t="shared" si="3"/>
        <v>1322114.855</v>
      </c>
      <c r="G74" s="1">
        <f t="shared" si="4"/>
        <v>47.96699905</v>
      </c>
      <c r="H74" s="1">
        <v>84.27003628</v>
      </c>
      <c r="I74" s="1">
        <f t="shared" si="11"/>
        <v>85</v>
      </c>
      <c r="J74" s="1">
        <v>7.08762751</v>
      </c>
      <c r="K74" s="1">
        <v>3.740143722</v>
      </c>
      <c r="L74" s="1">
        <v>4.902192485</v>
      </c>
      <c r="M74" s="1">
        <v>71.25616743</v>
      </c>
      <c r="N74" s="1">
        <v>11.97218925</v>
      </c>
      <c r="O74" s="1">
        <v>7.081803759</v>
      </c>
      <c r="P74" s="1">
        <v>9.689839563</v>
      </c>
      <c r="Q74" s="1">
        <v>96.26696535</v>
      </c>
      <c r="R74" s="1">
        <v>2.584758965</v>
      </c>
      <c r="S74" s="1">
        <v>0.6596102638</v>
      </c>
      <c r="T74" s="1">
        <v>0.4886654211</v>
      </c>
      <c r="U74" s="2">
        <f t="shared" si="6"/>
        <v>3</v>
      </c>
    </row>
    <row r="75">
      <c r="A75" s="1" t="s">
        <v>26</v>
      </c>
      <c r="B75" s="1">
        <v>2722.291016</v>
      </c>
      <c r="C75" s="1">
        <f t="shared" si="1"/>
        <v>3</v>
      </c>
      <c r="D75" s="1">
        <f t="shared" si="2"/>
        <v>2722291.016</v>
      </c>
      <c r="E75" s="1">
        <v>68.04599762</v>
      </c>
      <c r="F75" s="1">
        <f t="shared" si="3"/>
        <v>1852410.08</v>
      </c>
      <c r="G75" s="1">
        <f t="shared" si="4"/>
        <v>31.95400238</v>
      </c>
      <c r="H75" s="1">
        <v>98.01334724</v>
      </c>
      <c r="I75" s="1">
        <f t="shared" si="11"/>
        <v>99</v>
      </c>
      <c r="J75" s="1">
        <v>0.0</v>
      </c>
      <c r="K75" s="1">
        <v>1.98665276</v>
      </c>
      <c r="L75" s="1">
        <v>0.0</v>
      </c>
      <c r="M75" s="1">
        <v>93.78278023</v>
      </c>
      <c r="N75" s="1">
        <v>0.0</v>
      </c>
      <c r="O75" s="1">
        <v>6.217219771</v>
      </c>
      <c r="P75" s="1">
        <v>0.0</v>
      </c>
      <c r="Q75" s="1">
        <v>100.0</v>
      </c>
      <c r="R75" s="1">
        <v>0.0</v>
      </c>
      <c r="S75" s="1">
        <v>0.0</v>
      </c>
      <c r="T75" s="1">
        <v>0.0</v>
      </c>
      <c r="U75" s="2">
        <f t="shared" si="6"/>
        <v>4</v>
      </c>
    </row>
    <row r="76">
      <c r="A76" s="1" t="s">
        <v>26</v>
      </c>
      <c r="B76" s="1">
        <v>2860.840088</v>
      </c>
      <c r="C76" s="1">
        <f t="shared" si="1"/>
        <v>3</v>
      </c>
      <c r="D76" s="1">
        <f t="shared" si="2"/>
        <v>2860840.088</v>
      </c>
      <c r="E76" s="1">
        <v>93.58100128</v>
      </c>
      <c r="F76" s="1">
        <f t="shared" si="3"/>
        <v>2677202.799</v>
      </c>
      <c r="G76" s="1">
        <f t="shared" si="4"/>
        <v>6.41899872</v>
      </c>
      <c r="H76" s="1">
        <v>100.0</v>
      </c>
      <c r="I76" s="1">
        <f t="shared" si="11"/>
        <v>100</v>
      </c>
      <c r="J76" s="1">
        <v>0.0</v>
      </c>
      <c r="K76" s="1">
        <v>0.0</v>
      </c>
      <c r="L76" s="1">
        <v>0.0</v>
      </c>
      <c r="M76" s="1" t="s">
        <v>18</v>
      </c>
      <c r="N76" s="1" t="s">
        <v>18</v>
      </c>
      <c r="O76" s="1" t="s">
        <v>18</v>
      </c>
      <c r="P76" s="1" t="s">
        <v>18</v>
      </c>
      <c r="Q76" s="1" t="s">
        <v>18</v>
      </c>
      <c r="R76" s="1" t="s">
        <v>18</v>
      </c>
      <c r="S76" s="1" t="s">
        <v>18</v>
      </c>
      <c r="T76" s="1" t="s">
        <v>18</v>
      </c>
      <c r="U76" s="2">
        <f t="shared" si="6"/>
        <v>4</v>
      </c>
    </row>
    <row r="77">
      <c r="A77" s="1" t="s">
        <v>29</v>
      </c>
      <c r="B77" s="1">
        <v>2877.800049</v>
      </c>
      <c r="C77" s="1">
        <f t="shared" si="1"/>
        <v>3</v>
      </c>
      <c r="D77" s="1">
        <f t="shared" si="2"/>
        <v>2877800.049</v>
      </c>
      <c r="E77" s="1">
        <v>62.11199951</v>
      </c>
      <c r="F77" s="1">
        <f t="shared" si="3"/>
        <v>1787459.152</v>
      </c>
      <c r="G77" s="1">
        <f t="shared" si="4"/>
        <v>37.88800049</v>
      </c>
      <c r="H77" s="1">
        <v>95.06803883</v>
      </c>
      <c r="I77" s="1">
        <f t="shared" si="11"/>
        <v>96</v>
      </c>
      <c r="J77" s="1">
        <v>1.884656092</v>
      </c>
      <c r="K77" s="1">
        <v>3.047305081</v>
      </c>
      <c r="L77" s="1">
        <v>0.0</v>
      </c>
      <c r="M77" s="1">
        <v>94.09135806</v>
      </c>
      <c r="N77" s="1">
        <v>2.305264955</v>
      </c>
      <c r="O77" s="1">
        <v>3.603376986</v>
      </c>
      <c r="P77" s="1">
        <v>0.0</v>
      </c>
      <c r="Q77" s="1">
        <v>95.66380912</v>
      </c>
      <c r="R77" s="1">
        <v>1.62808683</v>
      </c>
      <c r="S77" s="1">
        <v>2.708104054</v>
      </c>
      <c r="T77" s="1">
        <v>0.0</v>
      </c>
      <c r="U77" s="2">
        <f t="shared" si="6"/>
        <v>3</v>
      </c>
    </row>
    <row r="78">
      <c r="A78" s="1" t="s">
        <v>26</v>
      </c>
      <c r="B78" s="1">
        <v>2881.060059</v>
      </c>
      <c r="C78" s="1">
        <f t="shared" si="1"/>
        <v>3</v>
      </c>
      <c r="D78" s="1">
        <f t="shared" si="2"/>
        <v>2881060.059</v>
      </c>
      <c r="E78" s="1">
        <v>99.23500061</v>
      </c>
      <c r="F78" s="1">
        <f t="shared" si="3"/>
        <v>2859019.967</v>
      </c>
      <c r="G78" s="1">
        <f t="shared" si="4"/>
        <v>0.76499939</v>
      </c>
      <c r="H78" s="1">
        <v>99.56810194</v>
      </c>
      <c r="I78" s="1">
        <f t="shared" si="11"/>
        <v>100</v>
      </c>
      <c r="J78" s="1">
        <v>0.0</v>
      </c>
      <c r="K78" s="1">
        <v>0.4318980637</v>
      </c>
      <c r="L78" s="1">
        <v>0.0</v>
      </c>
      <c r="M78" s="1" t="s">
        <v>18</v>
      </c>
      <c r="N78" s="1" t="s">
        <v>18</v>
      </c>
      <c r="O78" s="1" t="s">
        <v>18</v>
      </c>
      <c r="P78" s="1" t="s">
        <v>18</v>
      </c>
      <c r="Q78" s="1" t="s">
        <v>18</v>
      </c>
      <c r="R78" s="1" t="s">
        <v>18</v>
      </c>
      <c r="S78" s="1" t="s">
        <v>18</v>
      </c>
      <c r="T78" s="1" t="s">
        <v>18</v>
      </c>
      <c r="U78" s="2">
        <f t="shared" si="6"/>
        <v>4</v>
      </c>
    </row>
    <row r="79">
      <c r="A79" s="1" t="s">
        <v>29</v>
      </c>
      <c r="B79" s="1">
        <v>2961.160889</v>
      </c>
      <c r="C79" s="1">
        <f t="shared" si="1"/>
        <v>3</v>
      </c>
      <c r="D79" s="1">
        <f t="shared" si="2"/>
        <v>2961160.889</v>
      </c>
      <c r="E79" s="1">
        <v>56.31100082</v>
      </c>
      <c r="F79" s="1">
        <f t="shared" si="3"/>
        <v>1667459.332</v>
      </c>
      <c r="G79" s="1">
        <f t="shared" si="4"/>
        <v>43.68899918</v>
      </c>
      <c r="H79" s="1">
        <v>91.0299445</v>
      </c>
      <c r="I79" s="1">
        <f t="shared" si="11"/>
        <v>92</v>
      </c>
      <c r="J79" s="1">
        <v>5.367570914</v>
      </c>
      <c r="K79" s="1">
        <v>1.864010203</v>
      </c>
      <c r="L79" s="1">
        <v>1.738474379</v>
      </c>
      <c r="M79" s="1">
        <v>85.39991216</v>
      </c>
      <c r="N79" s="1">
        <v>8.490737371</v>
      </c>
      <c r="O79" s="1">
        <v>2.568971895</v>
      </c>
      <c r="P79" s="1">
        <v>3.540378574</v>
      </c>
      <c r="Q79" s="1">
        <v>95.39801591</v>
      </c>
      <c r="R79" s="1">
        <v>2.944456223</v>
      </c>
      <c r="S79" s="1">
        <v>1.317064322</v>
      </c>
      <c r="T79" s="1">
        <v>0.34046355</v>
      </c>
      <c r="U79" s="2">
        <f t="shared" si="6"/>
        <v>3</v>
      </c>
    </row>
    <row r="80">
      <c r="A80" s="1" t="s">
        <v>29</v>
      </c>
      <c r="B80" s="1">
        <v>2963.233887</v>
      </c>
      <c r="C80" s="1">
        <f t="shared" si="1"/>
        <v>3</v>
      </c>
      <c r="D80" s="1">
        <f t="shared" si="2"/>
        <v>2963233.887</v>
      </c>
      <c r="E80" s="1">
        <v>63.31299973</v>
      </c>
      <c r="F80" s="1">
        <f t="shared" si="3"/>
        <v>1876112.263</v>
      </c>
      <c r="G80" s="1">
        <f t="shared" si="4"/>
        <v>36.68700027</v>
      </c>
      <c r="H80" s="1">
        <v>99.97118069</v>
      </c>
      <c r="I80" s="1">
        <f t="shared" si="11"/>
        <v>100</v>
      </c>
      <c r="J80" s="1">
        <v>0.0</v>
      </c>
      <c r="K80" s="1">
        <v>0.02881930801</v>
      </c>
      <c r="L80" s="1">
        <v>0.0</v>
      </c>
      <c r="M80" s="1">
        <v>100.0</v>
      </c>
      <c r="N80" s="1">
        <v>0.0</v>
      </c>
      <c r="O80" s="1">
        <v>0.0</v>
      </c>
      <c r="P80" s="1">
        <v>0.0</v>
      </c>
      <c r="Q80" s="1">
        <v>99.95448122</v>
      </c>
      <c r="R80" s="1">
        <v>0.0</v>
      </c>
      <c r="S80" s="1">
        <v>0.04551878364</v>
      </c>
      <c r="T80" s="1">
        <v>0.0</v>
      </c>
      <c r="U80" s="2">
        <f t="shared" si="6"/>
        <v>3</v>
      </c>
    </row>
    <row r="81">
      <c r="A81" s="1" t="s">
        <v>49</v>
      </c>
      <c r="B81" s="1">
        <v>3278.291992</v>
      </c>
      <c r="C81" s="1">
        <f t="shared" si="1"/>
        <v>4</v>
      </c>
      <c r="D81" s="1">
        <f t="shared" si="2"/>
        <v>3278291.992</v>
      </c>
      <c r="E81" s="1">
        <v>68.65699768</v>
      </c>
      <c r="F81" s="1">
        <f t="shared" si="3"/>
        <v>2250776.857</v>
      </c>
      <c r="G81" s="1">
        <f t="shared" si="4"/>
        <v>31.34300232</v>
      </c>
      <c r="H81" s="1">
        <v>85.49562527</v>
      </c>
      <c r="I81" s="1">
        <f t="shared" si="11"/>
        <v>86</v>
      </c>
      <c r="J81" s="1">
        <v>2.14642893</v>
      </c>
      <c r="K81" s="1">
        <v>6.633366714</v>
      </c>
      <c r="L81" s="1">
        <v>5.724579081</v>
      </c>
      <c r="M81" s="1">
        <v>61.07075114</v>
      </c>
      <c r="N81" s="1">
        <v>3.084170572</v>
      </c>
      <c r="O81" s="1">
        <v>17.58078116</v>
      </c>
      <c r="P81" s="1">
        <v>18.26429713</v>
      </c>
      <c r="Q81" s="1">
        <v>96.64596558</v>
      </c>
      <c r="R81" s="1">
        <v>1.718335079</v>
      </c>
      <c r="S81" s="1">
        <v>1.635699341</v>
      </c>
      <c r="T81" s="1">
        <v>0.0</v>
      </c>
      <c r="U81" s="2">
        <f t="shared" si="6"/>
        <v>2</v>
      </c>
    </row>
    <row r="82">
      <c r="A82" s="1" t="s">
        <v>29</v>
      </c>
      <c r="B82" s="1">
        <v>3280.814941</v>
      </c>
      <c r="C82" s="1">
        <f t="shared" si="1"/>
        <v>4</v>
      </c>
      <c r="D82" s="1">
        <f t="shared" si="2"/>
        <v>3280814.941</v>
      </c>
      <c r="E82" s="1">
        <v>49.02000046</v>
      </c>
      <c r="F82" s="1">
        <f t="shared" si="3"/>
        <v>1608255.499</v>
      </c>
      <c r="G82" s="1">
        <f t="shared" si="4"/>
        <v>50.97999954</v>
      </c>
      <c r="H82" s="1">
        <v>96.11389762</v>
      </c>
      <c r="I82" s="1">
        <f t="shared" si="11"/>
        <v>97</v>
      </c>
      <c r="J82" s="1">
        <v>3.823663938</v>
      </c>
      <c r="K82" s="1">
        <v>0.06243843752</v>
      </c>
      <c r="L82" s="1">
        <v>0.0</v>
      </c>
      <c r="M82" s="1">
        <v>97.33333333</v>
      </c>
      <c r="N82" s="1">
        <v>2.666666667</v>
      </c>
      <c r="O82" s="1">
        <v>0.0</v>
      </c>
      <c r="P82" s="1">
        <v>0.0</v>
      </c>
      <c r="Q82" s="1">
        <v>94.8457044</v>
      </c>
      <c r="R82" s="1">
        <v>5.026922206</v>
      </c>
      <c r="S82" s="1">
        <v>0.1273733928</v>
      </c>
      <c r="T82" s="1">
        <v>0.0</v>
      </c>
      <c r="U82" s="2">
        <f t="shared" si="6"/>
        <v>3</v>
      </c>
    </row>
    <row r="83">
      <c r="A83" s="1" t="s">
        <v>26</v>
      </c>
      <c r="B83" s="1">
        <v>3473.727051</v>
      </c>
      <c r="C83" s="1">
        <f t="shared" si="1"/>
        <v>4</v>
      </c>
      <c r="D83" s="1">
        <f t="shared" si="2"/>
        <v>3473727.051</v>
      </c>
      <c r="E83" s="1">
        <v>95.51499939</v>
      </c>
      <c r="F83" s="1">
        <f t="shared" si="3"/>
        <v>3317930.372</v>
      </c>
      <c r="G83" s="1">
        <f t="shared" si="4"/>
        <v>4.48500061</v>
      </c>
      <c r="H83" s="1">
        <v>99.49575756</v>
      </c>
      <c r="I83" s="1">
        <f t="shared" si="11"/>
        <v>100</v>
      </c>
      <c r="J83" s="1">
        <v>0.5042424412</v>
      </c>
      <c r="K83" s="1">
        <v>0.0</v>
      </c>
      <c r="L83" s="1">
        <v>0.0</v>
      </c>
      <c r="M83" s="1">
        <v>95.30083</v>
      </c>
      <c r="N83" s="1">
        <v>4.69917</v>
      </c>
      <c r="O83" s="1">
        <v>0.0</v>
      </c>
      <c r="P83" s="1">
        <v>0.0</v>
      </c>
      <c r="Q83" s="1">
        <v>99.69273444</v>
      </c>
      <c r="R83" s="1">
        <v>0.3072655617</v>
      </c>
      <c r="S83" s="1">
        <v>0.0</v>
      </c>
      <c r="T83" s="1">
        <v>0.0</v>
      </c>
      <c r="U83" s="2">
        <f t="shared" si="6"/>
        <v>4</v>
      </c>
    </row>
    <row r="84">
      <c r="A84" s="1" t="s">
        <v>29</v>
      </c>
      <c r="B84" s="1">
        <v>3989.175049</v>
      </c>
      <c r="C84" s="1">
        <f t="shared" si="1"/>
        <v>4</v>
      </c>
      <c r="D84" s="1">
        <f t="shared" si="2"/>
        <v>3989175.049</v>
      </c>
      <c r="E84" s="1">
        <v>59.4529953</v>
      </c>
      <c r="F84" s="1">
        <f t="shared" si="3"/>
        <v>2371684.054</v>
      </c>
      <c r="G84" s="1">
        <f t="shared" si="4"/>
        <v>40.5470047</v>
      </c>
      <c r="H84" s="1">
        <v>97.3481397</v>
      </c>
      <c r="I84" s="1">
        <f t="shared" si="11"/>
        <v>98</v>
      </c>
      <c r="J84" s="1">
        <v>0.0</v>
      </c>
      <c r="K84" s="1">
        <v>2.632761379</v>
      </c>
      <c r="L84" s="1">
        <v>0.01909892327</v>
      </c>
      <c r="M84" s="1">
        <v>94.2718842</v>
      </c>
      <c r="N84" s="1">
        <v>0.0</v>
      </c>
      <c r="O84" s="1">
        <v>5.703923618</v>
      </c>
      <c r="P84" s="1">
        <v>0.02419218345</v>
      </c>
      <c r="Q84" s="1">
        <v>99.44615394</v>
      </c>
      <c r="R84" s="1">
        <v>0.0</v>
      </c>
      <c r="S84" s="1">
        <v>0.538220742</v>
      </c>
      <c r="T84" s="1">
        <v>0.01562531586</v>
      </c>
      <c r="U84" s="2">
        <f t="shared" si="6"/>
        <v>3</v>
      </c>
    </row>
    <row r="85">
      <c r="A85" s="1" t="s">
        <v>29</v>
      </c>
      <c r="B85" s="1">
        <v>4033.962891</v>
      </c>
      <c r="C85" s="1">
        <f t="shared" si="1"/>
        <v>5</v>
      </c>
      <c r="D85" s="1">
        <f t="shared" si="2"/>
        <v>4033962.891</v>
      </c>
      <c r="E85" s="1">
        <v>42.84900284</v>
      </c>
      <c r="F85" s="1">
        <f t="shared" si="3"/>
        <v>1728512.874</v>
      </c>
      <c r="G85" s="1">
        <f t="shared" si="4"/>
        <v>57.15099716</v>
      </c>
      <c r="H85" s="1">
        <v>90.56996224</v>
      </c>
      <c r="I85" s="1">
        <f t="shared" si="11"/>
        <v>91</v>
      </c>
      <c r="J85" s="1">
        <v>1.519776762</v>
      </c>
      <c r="K85" s="1">
        <v>7.910260997</v>
      </c>
      <c r="L85" s="1">
        <v>0.0</v>
      </c>
      <c r="M85" s="1">
        <v>85.48103812</v>
      </c>
      <c r="N85" s="1">
        <v>1.52256302</v>
      </c>
      <c r="O85" s="1">
        <v>12.99639886</v>
      </c>
      <c r="P85" s="1">
        <v>0.0</v>
      </c>
      <c r="Q85" s="1">
        <v>97.35744448</v>
      </c>
      <c r="R85" s="1">
        <v>1.516060408</v>
      </c>
      <c r="S85" s="1">
        <v>1.126495111</v>
      </c>
      <c r="T85" s="1">
        <v>0.0</v>
      </c>
      <c r="U85" s="2">
        <f t="shared" si="6"/>
        <v>3</v>
      </c>
    </row>
    <row r="86">
      <c r="A86" s="1" t="s">
        <v>26</v>
      </c>
      <c r="B86" s="1">
        <v>4105.268066</v>
      </c>
      <c r="C86" s="1">
        <f t="shared" si="1"/>
        <v>5</v>
      </c>
      <c r="D86" s="1">
        <f t="shared" si="2"/>
        <v>4105268.066</v>
      </c>
      <c r="E86" s="1">
        <v>57.55299759</v>
      </c>
      <c r="F86" s="1">
        <f t="shared" si="3"/>
        <v>2362704.831</v>
      </c>
      <c r="G86" s="1">
        <f t="shared" si="4"/>
        <v>42.44700241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18</v>
      </c>
      <c r="N86" s="1" t="s">
        <v>18</v>
      </c>
      <c r="O86" s="1" t="s">
        <v>18</v>
      </c>
      <c r="P86" s="1" t="s">
        <v>18</v>
      </c>
      <c r="Q86" s="1">
        <v>100.0</v>
      </c>
      <c r="R86" s="1">
        <v>0.0</v>
      </c>
      <c r="S86" s="1">
        <v>0.0</v>
      </c>
      <c r="T86" s="1">
        <v>0.0</v>
      </c>
      <c r="U86" s="2">
        <f t="shared" si="6"/>
        <v>4</v>
      </c>
    </row>
    <row r="87">
      <c r="A87" s="1" t="s">
        <v>26</v>
      </c>
      <c r="B87" s="1">
        <v>4270.562988</v>
      </c>
      <c r="C87" s="1">
        <f t="shared" si="1"/>
        <v>5</v>
      </c>
      <c r="D87" s="1">
        <f t="shared" si="2"/>
        <v>4270562.988</v>
      </c>
      <c r="E87" s="1">
        <v>100.0</v>
      </c>
      <c r="F87" s="1">
        <f t="shared" si="3"/>
        <v>4270562.988</v>
      </c>
      <c r="G87" s="1">
        <f t="shared" si="4"/>
        <v>0</v>
      </c>
      <c r="H87" s="1">
        <v>100.0</v>
      </c>
      <c r="I87" s="1">
        <f t="shared" ref="I87:I89" si="12">ROUNDUP(H87,0)</f>
        <v>100</v>
      </c>
      <c r="J87" s="1">
        <v>0.0</v>
      </c>
      <c r="K87" s="1">
        <v>0.0</v>
      </c>
      <c r="L87" s="1">
        <v>0.0</v>
      </c>
      <c r="M87" s="1" t="s">
        <v>18</v>
      </c>
      <c r="N87" s="1" t="s">
        <v>18</v>
      </c>
      <c r="O87" s="1" t="s">
        <v>18</v>
      </c>
      <c r="P87" s="1" t="s">
        <v>18</v>
      </c>
      <c r="Q87" s="1" t="s">
        <v>18</v>
      </c>
      <c r="R87" s="1" t="s">
        <v>18</v>
      </c>
      <c r="S87" s="1" t="s">
        <v>18</v>
      </c>
      <c r="T87" s="1" t="s">
        <v>18</v>
      </c>
      <c r="U87" s="2">
        <f t="shared" si="6"/>
        <v>4</v>
      </c>
    </row>
    <row r="88">
      <c r="A88" s="1" t="s">
        <v>26</v>
      </c>
      <c r="B88" s="1">
        <v>4314.768066</v>
      </c>
      <c r="C88" s="1">
        <f t="shared" si="1"/>
        <v>5</v>
      </c>
      <c r="D88" s="1">
        <f t="shared" si="2"/>
        <v>4314768.066</v>
      </c>
      <c r="E88" s="1">
        <v>68.41400146</v>
      </c>
      <c r="F88" s="1">
        <f t="shared" si="3"/>
        <v>2951905.488</v>
      </c>
      <c r="G88" s="1">
        <f t="shared" si="4"/>
        <v>31.58599854</v>
      </c>
      <c r="H88" s="1">
        <v>94.37254436</v>
      </c>
      <c r="I88" s="1">
        <f t="shared" si="12"/>
        <v>95</v>
      </c>
      <c r="J88" s="1">
        <v>1.873480592</v>
      </c>
      <c r="K88" s="1">
        <v>2.262304247</v>
      </c>
      <c r="L88" s="1">
        <v>1.491670799</v>
      </c>
      <c r="M88" s="1">
        <v>86.32308326</v>
      </c>
      <c r="N88" s="1">
        <v>1.791982583</v>
      </c>
      <c r="O88" s="1">
        <v>7.162364342</v>
      </c>
      <c r="P88" s="1">
        <v>4.722569811</v>
      </c>
      <c r="Q88" s="1">
        <v>98.08889267</v>
      </c>
      <c r="R88" s="1">
        <v>1.911107333</v>
      </c>
      <c r="S88" s="1">
        <v>0.0</v>
      </c>
      <c r="T88" s="1">
        <v>0.0</v>
      </c>
      <c r="U88" s="2">
        <f t="shared" si="6"/>
        <v>4</v>
      </c>
    </row>
    <row r="89">
      <c r="A89" s="1" t="s">
        <v>49</v>
      </c>
      <c r="B89" s="1">
        <v>4649.660156</v>
      </c>
      <c r="C89" s="1">
        <f t="shared" si="1"/>
        <v>5</v>
      </c>
      <c r="D89" s="1">
        <f t="shared" si="2"/>
        <v>4649660.156</v>
      </c>
      <c r="E89" s="1">
        <v>55.32699585</v>
      </c>
      <c r="F89" s="1">
        <f t="shared" si="3"/>
        <v>2572517.282</v>
      </c>
      <c r="G89" s="1">
        <f t="shared" si="4"/>
        <v>44.67300415</v>
      </c>
      <c r="H89" s="1">
        <v>71.68104923</v>
      </c>
      <c r="I89" s="1">
        <f t="shared" si="12"/>
        <v>72</v>
      </c>
      <c r="J89" s="1">
        <v>13.47689193</v>
      </c>
      <c r="K89" s="1">
        <v>14.82032681</v>
      </c>
      <c r="L89" s="1">
        <v>0.02173203433</v>
      </c>
      <c r="M89" s="1">
        <v>49.9113389</v>
      </c>
      <c r="N89" s="1">
        <v>18.49039689</v>
      </c>
      <c r="O89" s="1">
        <v>31.5496173</v>
      </c>
      <c r="P89" s="1">
        <v>0.04864690722</v>
      </c>
      <c r="Q89" s="1">
        <v>89.25869465</v>
      </c>
      <c r="R89" s="1">
        <v>9.428808083</v>
      </c>
      <c r="S89" s="1">
        <v>1.31249727</v>
      </c>
      <c r="T89" s="1">
        <v>0.0</v>
      </c>
      <c r="U89" s="2">
        <f t="shared" si="6"/>
        <v>2</v>
      </c>
    </row>
    <row r="90">
      <c r="A90" s="1" t="s">
        <v>26</v>
      </c>
      <c r="B90" s="1">
        <v>4822.23291</v>
      </c>
      <c r="C90" s="1">
        <f t="shared" si="1"/>
        <v>5</v>
      </c>
      <c r="D90" s="1">
        <f t="shared" si="2"/>
        <v>4822232.91</v>
      </c>
      <c r="E90" s="1">
        <v>86.6989975</v>
      </c>
      <c r="F90" s="1">
        <f t="shared" si="3"/>
        <v>4180827.59</v>
      </c>
      <c r="G90" s="1">
        <f t="shared" si="4"/>
        <v>13.3010025</v>
      </c>
      <c r="H90" s="1">
        <v>100.0000013</v>
      </c>
      <c r="I90" s="1">
        <f>if(H90&gt;100, 100, H70)</f>
        <v>100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  <c r="Q90" s="1">
        <v>100.0</v>
      </c>
      <c r="R90" s="1">
        <v>0.0</v>
      </c>
      <c r="S90" s="1">
        <v>0.0</v>
      </c>
      <c r="T90" s="1">
        <v>0.0</v>
      </c>
      <c r="U90" s="2">
        <f t="shared" si="6"/>
        <v>4</v>
      </c>
    </row>
    <row r="91">
      <c r="A91" s="1" t="s">
        <v>87</v>
      </c>
      <c r="B91" s="1">
        <v>4829.76416</v>
      </c>
      <c r="C91" s="1">
        <f t="shared" si="1"/>
        <v>5</v>
      </c>
      <c r="D91" s="1">
        <f t="shared" si="2"/>
        <v>4829764.16</v>
      </c>
      <c r="E91" s="1">
        <v>42.19799805</v>
      </c>
      <c r="F91" s="1">
        <f t="shared" si="3"/>
        <v>2038063.786</v>
      </c>
      <c r="G91" s="1">
        <f t="shared" si="4"/>
        <v>57.80200195</v>
      </c>
      <c r="H91" s="1">
        <v>37.20240205</v>
      </c>
      <c r="I91" s="1">
        <f t="shared" ref="I91:I99" si="13">ROUNDUP(H91,0)</f>
        <v>38</v>
      </c>
      <c r="J91" s="1">
        <v>25.68237348</v>
      </c>
      <c r="K91" s="1">
        <v>33.53911377</v>
      </c>
      <c r="L91" s="1">
        <v>3.576110708</v>
      </c>
      <c r="M91" s="1">
        <v>28.10659415</v>
      </c>
      <c r="N91" s="1">
        <v>19.4058899</v>
      </c>
      <c r="O91" s="1">
        <v>46.37307301</v>
      </c>
      <c r="P91" s="1">
        <v>6.114442944</v>
      </c>
      <c r="Q91" s="1">
        <v>49.66166495</v>
      </c>
      <c r="R91" s="1">
        <v>34.27978009</v>
      </c>
      <c r="S91" s="1">
        <v>15.95940214</v>
      </c>
      <c r="T91" s="1">
        <v>0.09915281712</v>
      </c>
      <c r="U91" s="2">
        <f t="shared" si="6"/>
        <v>1</v>
      </c>
    </row>
    <row r="92">
      <c r="A92" s="1" t="s">
        <v>26</v>
      </c>
      <c r="B92" s="1">
        <v>4937.795898</v>
      </c>
      <c r="C92" s="1">
        <f t="shared" si="1"/>
        <v>5</v>
      </c>
      <c r="D92" s="1">
        <f t="shared" si="2"/>
        <v>4937795.898</v>
      </c>
      <c r="E92" s="1">
        <v>63.65299988</v>
      </c>
      <c r="F92" s="1">
        <f t="shared" si="3"/>
        <v>3143055.217</v>
      </c>
      <c r="G92" s="1">
        <f t="shared" si="4"/>
        <v>36.34700012</v>
      </c>
      <c r="H92" s="1">
        <v>97.39970651</v>
      </c>
      <c r="I92" s="1">
        <f t="shared" si="13"/>
        <v>98</v>
      </c>
      <c r="J92" s="1">
        <v>0.0</v>
      </c>
      <c r="K92" s="1">
        <v>2.600293485</v>
      </c>
      <c r="L92" s="1">
        <v>0.0</v>
      </c>
      <c r="M92" s="1">
        <v>98.13492075</v>
      </c>
      <c r="N92" s="1">
        <v>0.0</v>
      </c>
      <c r="O92" s="1">
        <v>1.865079247</v>
      </c>
      <c r="P92" s="1">
        <v>0.0</v>
      </c>
      <c r="Q92" s="1">
        <v>96.97988603</v>
      </c>
      <c r="R92" s="1">
        <v>0.0</v>
      </c>
      <c r="S92" s="1">
        <v>3.020113966</v>
      </c>
      <c r="T92" s="1">
        <v>0.0</v>
      </c>
      <c r="U92" s="2">
        <f t="shared" si="6"/>
        <v>4</v>
      </c>
    </row>
    <row r="93">
      <c r="A93" s="1" t="s">
        <v>87</v>
      </c>
      <c r="B93" s="1">
        <v>5057.676758</v>
      </c>
      <c r="C93" s="1">
        <f t="shared" si="1"/>
        <v>6</v>
      </c>
      <c r="D93" s="1">
        <f t="shared" si="2"/>
        <v>5057676.758</v>
      </c>
      <c r="E93" s="1">
        <v>52.08899689</v>
      </c>
      <c r="F93" s="1">
        <f t="shared" si="3"/>
        <v>2634493.089</v>
      </c>
      <c r="G93" s="1">
        <f t="shared" si="4"/>
        <v>47.91100311</v>
      </c>
      <c r="H93" s="1">
        <v>75.26179159</v>
      </c>
      <c r="I93" s="1">
        <f t="shared" si="13"/>
        <v>76</v>
      </c>
      <c r="J93" s="1">
        <v>8.700657475</v>
      </c>
      <c r="K93" s="1">
        <v>3.488080869</v>
      </c>
      <c r="L93" s="1">
        <v>12.54947006</v>
      </c>
      <c r="M93" s="1">
        <v>64.10021689</v>
      </c>
      <c r="N93" s="1">
        <v>6.537775797</v>
      </c>
      <c r="O93" s="1">
        <v>3.383709875</v>
      </c>
      <c r="P93" s="1">
        <v>25.97829744</v>
      </c>
      <c r="Q93" s="1">
        <v>85.52810963</v>
      </c>
      <c r="R93" s="1">
        <v>10.69005698</v>
      </c>
      <c r="S93" s="1">
        <v>3.58408039</v>
      </c>
      <c r="T93" s="1">
        <v>0.1977530006</v>
      </c>
      <c r="U93" s="2">
        <f t="shared" si="6"/>
        <v>1</v>
      </c>
    </row>
    <row r="94">
      <c r="A94" s="1" t="s">
        <v>29</v>
      </c>
      <c r="B94" s="1">
        <v>5094.11377</v>
      </c>
      <c r="C94" s="1">
        <f t="shared" si="1"/>
        <v>6</v>
      </c>
      <c r="D94" s="1">
        <f t="shared" si="2"/>
        <v>5094113.77</v>
      </c>
      <c r="E94" s="1">
        <v>80.77099609</v>
      </c>
      <c r="F94" s="1">
        <f t="shared" si="3"/>
        <v>4114566.434</v>
      </c>
      <c r="G94" s="1">
        <f t="shared" si="4"/>
        <v>19.22900391</v>
      </c>
      <c r="H94" s="1">
        <v>99.81053693</v>
      </c>
      <c r="I94" s="1">
        <f t="shared" si="13"/>
        <v>100</v>
      </c>
      <c r="J94" s="1">
        <v>0.1894594746</v>
      </c>
      <c r="K94" s="1">
        <v>3.594451897E-6</v>
      </c>
      <c r="L94" s="1">
        <v>0.0</v>
      </c>
      <c r="M94" s="1">
        <v>99.64625</v>
      </c>
      <c r="N94" s="1">
        <v>0.35375</v>
      </c>
      <c r="O94" s="1">
        <v>0.0</v>
      </c>
      <c r="P94" s="1">
        <v>0.0</v>
      </c>
      <c r="Q94" s="1">
        <v>99.84965286</v>
      </c>
      <c r="R94" s="1">
        <v>0.1503471429</v>
      </c>
      <c r="S94" s="1">
        <v>0.0</v>
      </c>
      <c r="T94" s="1">
        <v>0.0</v>
      </c>
      <c r="U94" s="2">
        <f t="shared" si="6"/>
        <v>3</v>
      </c>
    </row>
    <row r="95">
      <c r="A95" s="1" t="s">
        <v>49</v>
      </c>
      <c r="B95" s="1">
        <v>5101.416016</v>
      </c>
      <c r="C95" s="1">
        <f t="shared" si="1"/>
        <v>6</v>
      </c>
      <c r="D95" s="1">
        <f t="shared" si="2"/>
        <v>5101416.016</v>
      </c>
      <c r="E95" s="1">
        <v>76.71899414</v>
      </c>
      <c r="F95" s="1">
        <f t="shared" si="3"/>
        <v>3913755.054</v>
      </c>
      <c r="G95" s="1">
        <f t="shared" si="4"/>
        <v>23.28100586</v>
      </c>
      <c r="H95" s="1">
        <v>97.88039722</v>
      </c>
      <c r="I95" s="1">
        <f t="shared" si="13"/>
        <v>98</v>
      </c>
      <c r="J95" s="1">
        <v>1.029979486</v>
      </c>
      <c r="K95" s="1">
        <v>1.089623295</v>
      </c>
      <c r="L95" s="1" t="s">
        <v>18</v>
      </c>
      <c r="M95" s="1">
        <v>98.71555642</v>
      </c>
      <c r="N95" s="1">
        <v>0.3174006273</v>
      </c>
      <c r="O95" s="1">
        <v>0.9670429576</v>
      </c>
      <c r="P95" s="1" t="s">
        <v>18</v>
      </c>
      <c r="Q95" s="1">
        <v>97.62696443</v>
      </c>
      <c r="R95" s="1">
        <v>1.246217358</v>
      </c>
      <c r="S95" s="1">
        <v>1.126818208</v>
      </c>
      <c r="T95" s="1" t="s">
        <v>18</v>
      </c>
      <c r="U95" s="2">
        <f t="shared" si="6"/>
        <v>2</v>
      </c>
    </row>
    <row r="96">
      <c r="A96" s="1" t="s">
        <v>26</v>
      </c>
      <c r="B96" s="1">
        <v>5106.62207</v>
      </c>
      <c r="C96" s="1">
        <f t="shared" si="1"/>
        <v>6</v>
      </c>
      <c r="D96" s="1">
        <f t="shared" si="2"/>
        <v>5106622.07</v>
      </c>
      <c r="E96" s="1">
        <v>86.27599335</v>
      </c>
      <c r="F96" s="1">
        <f t="shared" si="3"/>
        <v>4405788.918</v>
      </c>
      <c r="G96" s="1">
        <f t="shared" si="4"/>
        <v>13.72400665</v>
      </c>
      <c r="H96" s="1">
        <v>92.16802469</v>
      </c>
      <c r="I96" s="1">
        <f t="shared" si="13"/>
        <v>93</v>
      </c>
      <c r="J96" s="1">
        <v>7.541419893</v>
      </c>
      <c r="K96" s="1">
        <v>0.2604052036</v>
      </c>
      <c r="L96" s="1">
        <v>0.03015021745</v>
      </c>
      <c r="M96" s="1">
        <v>76.25077991</v>
      </c>
      <c r="N96" s="1">
        <v>21.63212113</v>
      </c>
      <c r="O96" s="1">
        <v>1.897409218</v>
      </c>
      <c r="P96" s="1">
        <v>0.2196897375</v>
      </c>
      <c r="Q96" s="1">
        <v>94.7</v>
      </c>
      <c r="R96" s="1">
        <v>5.3</v>
      </c>
      <c r="S96" s="1">
        <v>0.0</v>
      </c>
      <c r="T96" s="1">
        <v>0.0</v>
      </c>
      <c r="U96" s="2">
        <f t="shared" si="6"/>
        <v>4</v>
      </c>
    </row>
    <row r="97">
      <c r="A97" s="1" t="s">
        <v>26</v>
      </c>
      <c r="B97" s="1">
        <v>5421.242188</v>
      </c>
      <c r="C97" s="1">
        <f t="shared" si="1"/>
        <v>6</v>
      </c>
      <c r="D97" s="1">
        <f t="shared" si="2"/>
        <v>5421242.188</v>
      </c>
      <c r="E97" s="1">
        <v>82.97399139</v>
      </c>
      <c r="F97" s="1">
        <f t="shared" si="3"/>
        <v>4498221.026</v>
      </c>
      <c r="G97" s="1">
        <f t="shared" si="4"/>
        <v>17.02600861</v>
      </c>
      <c r="H97" s="1">
        <v>99.9999955</v>
      </c>
      <c r="I97" s="1">
        <f t="shared" si="13"/>
        <v>100</v>
      </c>
      <c r="J97" s="1">
        <v>0.0</v>
      </c>
      <c r="K97" s="1">
        <v>4.503407453E-6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  <c r="Q97" s="1">
        <v>100.0</v>
      </c>
      <c r="R97" s="1">
        <v>0.0</v>
      </c>
      <c r="S97" s="1">
        <v>0.0</v>
      </c>
      <c r="T97" s="1">
        <v>0.0</v>
      </c>
      <c r="U97" s="2">
        <f t="shared" si="6"/>
        <v>4</v>
      </c>
    </row>
    <row r="98">
      <c r="A98" s="1" t="s">
        <v>26</v>
      </c>
      <c r="B98" s="1">
        <v>5459.643066</v>
      </c>
      <c r="C98" s="1">
        <f t="shared" si="1"/>
        <v>6</v>
      </c>
      <c r="D98" s="1">
        <f t="shared" si="2"/>
        <v>5459643.066</v>
      </c>
      <c r="E98" s="1">
        <v>53.75999832</v>
      </c>
      <c r="F98" s="1">
        <f t="shared" si="3"/>
        <v>2935104.021</v>
      </c>
      <c r="G98" s="1">
        <f t="shared" si="4"/>
        <v>46.24000168</v>
      </c>
      <c r="H98" s="1">
        <v>99.78769858</v>
      </c>
      <c r="I98" s="1">
        <f t="shared" si="13"/>
        <v>100</v>
      </c>
      <c r="J98" s="1">
        <v>0.2123014241</v>
      </c>
      <c r="K98" s="1">
        <v>0.0</v>
      </c>
      <c r="L98" s="1">
        <v>0.0</v>
      </c>
      <c r="M98" s="1">
        <v>100.0</v>
      </c>
      <c r="N98" s="1">
        <v>0.0</v>
      </c>
      <c r="O98" s="1">
        <v>0.0</v>
      </c>
      <c r="P98" s="1">
        <v>0.0</v>
      </c>
      <c r="Q98" s="1">
        <v>99.60509406</v>
      </c>
      <c r="R98" s="1">
        <v>0.3949059374</v>
      </c>
      <c r="S98" s="1">
        <v>0.0</v>
      </c>
      <c r="T98" s="1">
        <v>0.0</v>
      </c>
      <c r="U98" s="2">
        <f t="shared" si="6"/>
        <v>4</v>
      </c>
    </row>
    <row r="99">
      <c r="A99" s="1" t="s">
        <v>49</v>
      </c>
      <c r="B99" s="1">
        <v>5518.091797</v>
      </c>
      <c r="C99" s="1">
        <f t="shared" si="1"/>
        <v>6</v>
      </c>
      <c r="D99" s="1">
        <f t="shared" si="2"/>
        <v>5518091.797</v>
      </c>
      <c r="E99" s="1">
        <v>67.82900238</v>
      </c>
      <c r="F99" s="1">
        <f t="shared" si="3"/>
        <v>3742866.616</v>
      </c>
      <c r="G99" s="1">
        <f t="shared" si="4"/>
        <v>32.17099762</v>
      </c>
      <c r="H99" s="1">
        <v>73.78451158</v>
      </c>
      <c r="I99" s="1">
        <f t="shared" si="13"/>
        <v>74</v>
      </c>
      <c r="J99" s="1">
        <v>10.46117203</v>
      </c>
      <c r="K99" s="1">
        <v>9.559180722</v>
      </c>
      <c r="L99" s="1">
        <v>6.195135664</v>
      </c>
      <c r="M99" s="1">
        <v>45.72441318</v>
      </c>
      <c r="N99" s="1">
        <v>10.6323901</v>
      </c>
      <c r="O99" s="1">
        <v>24.40516973</v>
      </c>
      <c r="P99" s="1">
        <v>19.23802699</v>
      </c>
      <c r="Q99" s="1">
        <v>87.09329616</v>
      </c>
      <c r="R99" s="1">
        <v>10.37996439</v>
      </c>
      <c r="S99" s="1">
        <v>2.517789997</v>
      </c>
      <c r="T99" s="1">
        <v>0.008949452055</v>
      </c>
      <c r="U99" s="2">
        <f t="shared" si="6"/>
        <v>2</v>
      </c>
    </row>
    <row r="100">
      <c r="A100" s="1" t="s">
        <v>26</v>
      </c>
      <c r="B100" s="1">
        <v>5540.717773</v>
      </c>
      <c r="C100" s="1">
        <f t="shared" si="1"/>
        <v>6</v>
      </c>
      <c r="D100" s="1">
        <f t="shared" si="2"/>
        <v>5540717.773</v>
      </c>
      <c r="E100" s="1">
        <v>85.51700592</v>
      </c>
      <c r="F100" s="1">
        <f t="shared" si="3"/>
        <v>4738255.946</v>
      </c>
      <c r="G100" s="1">
        <f t="shared" si="4"/>
        <v>14.48299408</v>
      </c>
      <c r="H100" s="1">
        <v>100.0000033</v>
      </c>
      <c r="I100" s="1">
        <f t="shared" ref="I100:I101" si="14">if(H100&gt;100, 100, H80)</f>
        <v>100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  <c r="Q100" s="1">
        <v>100.0</v>
      </c>
      <c r="R100" s="1">
        <v>0.0</v>
      </c>
      <c r="S100" s="1">
        <v>0.0</v>
      </c>
      <c r="T100" s="1">
        <v>0.0</v>
      </c>
      <c r="U100" s="2">
        <f t="shared" si="6"/>
        <v>4</v>
      </c>
    </row>
    <row r="101">
      <c r="A101" s="1" t="s">
        <v>26</v>
      </c>
      <c r="B101" s="1">
        <v>5792.203125</v>
      </c>
      <c r="C101" s="1">
        <f t="shared" si="1"/>
        <v>6</v>
      </c>
      <c r="D101" s="1">
        <f t="shared" si="2"/>
        <v>5792203.125</v>
      </c>
      <c r="E101" s="1">
        <v>88.11600494</v>
      </c>
      <c r="F101" s="1">
        <f t="shared" si="3"/>
        <v>5103857.992</v>
      </c>
      <c r="G101" s="1">
        <f t="shared" si="4"/>
        <v>11.88399506</v>
      </c>
      <c r="H101" s="1">
        <v>100.0000011</v>
      </c>
      <c r="I101" s="1">
        <f t="shared" si="14"/>
        <v>100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  <c r="Q101" s="1">
        <v>100.0</v>
      </c>
      <c r="R101" s="1">
        <v>0.0</v>
      </c>
      <c r="S101" s="1">
        <v>0.0</v>
      </c>
      <c r="T101" s="1">
        <v>0.0</v>
      </c>
      <c r="U101" s="2">
        <f t="shared" si="6"/>
        <v>4</v>
      </c>
    </row>
    <row r="102">
      <c r="A102" s="1" t="s">
        <v>26</v>
      </c>
      <c r="B102" s="1">
        <v>5850.342773</v>
      </c>
      <c r="C102" s="1">
        <f t="shared" si="1"/>
        <v>6</v>
      </c>
      <c r="D102" s="1">
        <f t="shared" si="2"/>
        <v>5850342.773</v>
      </c>
      <c r="E102" s="1">
        <v>100.0</v>
      </c>
      <c r="F102" s="1">
        <f t="shared" si="3"/>
        <v>5850342.773</v>
      </c>
      <c r="G102" s="1">
        <f t="shared" si="4"/>
        <v>0</v>
      </c>
      <c r="H102" s="1">
        <v>100.0</v>
      </c>
      <c r="I102" s="1">
        <f t="shared" ref="I102:I114" si="15">ROUNDUP(H102,0)</f>
        <v>100</v>
      </c>
      <c r="J102" s="1">
        <v>0.0</v>
      </c>
      <c r="K102" s="1">
        <v>0.0</v>
      </c>
      <c r="L102" s="1">
        <v>0.0</v>
      </c>
      <c r="M102" s="1" t="s">
        <v>18</v>
      </c>
      <c r="N102" s="1" t="s">
        <v>18</v>
      </c>
      <c r="O102" s="1" t="s">
        <v>18</v>
      </c>
      <c r="P102" s="1" t="s">
        <v>18</v>
      </c>
      <c r="Q102" s="1">
        <v>100.0</v>
      </c>
      <c r="R102" s="1">
        <v>0.0</v>
      </c>
      <c r="S102" s="1">
        <v>0.0</v>
      </c>
      <c r="T102" s="1">
        <v>0.0</v>
      </c>
      <c r="U102" s="2">
        <f t="shared" si="6"/>
        <v>4</v>
      </c>
    </row>
    <row r="103">
      <c r="A103" s="1" t="s">
        <v>29</v>
      </c>
      <c r="B103" s="1">
        <v>6031.187012</v>
      </c>
      <c r="C103" s="1">
        <f t="shared" si="1"/>
        <v>7</v>
      </c>
      <c r="D103" s="1">
        <f t="shared" si="2"/>
        <v>6031187.012</v>
      </c>
      <c r="E103" s="1">
        <v>52.51600266</v>
      </c>
      <c r="F103" s="1">
        <f t="shared" si="3"/>
        <v>3167338.332</v>
      </c>
      <c r="G103" s="1">
        <f t="shared" si="4"/>
        <v>47.48399734</v>
      </c>
      <c r="H103" s="1">
        <v>100.0</v>
      </c>
      <c r="I103" s="1">
        <f t="shared" si="15"/>
        <v>100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  <c r="Q103" s="1">
        <v>100.0</v>
      </c>
      <c r="R103" s="1">
        <v>0.0</v>
      </c>
      <c r="S103" s="1">
        <v>0.0</v>
      </c>
      <c r="T103" s="1">
        <v>0.0</v>
      </c>
      <c r="U103" s="2">
        <f t="shared" si="6"/>
        <v>3</v>
      </c>
    </row>
    <row r="104">
      <c r="A104" s="1" t="s">
        <v>49</v>
      </c>
      <c r="B104" s="1">
        <v>6486.201172</v>
      </c>
      <c r="C104" s="1">
        <f t="shared" si="1"/>
        <v>7</v>
      </c>
      <c r="D104" s="1">
        <f t="shared" si="2"/>
        <v>6486201.172</v>
      </c>
      <c r="E104" s="1">
        <v>73.44400024</v>
      </c>
      <c r="F104" s="1">
        <f t="shared" si="3"/>
        <v>4763725.604</v>
      </c>
      <c r="G104" s="1">
        <f t="shared" si="4"/>
        <v>26.55599976</v>
      </c>
      <c r="H104" s="1">
        <v>97.94657541</v>
      </c>
      <c r="I104" s="1">
        <f t="shared" si="15"/>
        <v>98</v>
      </c>
      <c r="J104" s="1">
        <v>0.2072632319</v>
      </c>
      <c r="K104" s="1">
        <v>0.3151739969</v>
      </c>
      <c r="L104" s="1">
        <v>1.530987366</v>
      </c>
      <c r="M104" s="1">
        <v>93.45439508</v>
      </c>
      <c r="N104" s="1">
        <v>0.7804762049</v>
      </c>
      <c r="O104" s="1">
        <v>0.0</v>
      </c>
      <c r="P104" s="1">
        <v>5.765128712</v>
      </c>
      <c r="Q104" s="1">
        <v>99.57087001</v>
      </c>
      <c r="R104" s="1">
        <v>0.0</v>
      </c>
      <c r="S104" s="1">
        <v>0.4291299944</v>
      </c>
      <c r="T104" s="1">
        <v>0.0</v>
      </c>
      <c r="U104" s="2">
        <f t="shared" si="6"/>
        <v>2</v>
      </c>
    </row>
    <row r="105">
      <c r="A105" s="1" t="s">
        <v>18</v>
      </c>
      <c r="B105" s="1">
        <v>6524.190918</v>
      </c>
      <c r="C105" s="1">
        <f t="shared" si="1"/>
        <v>7</v>
      </c>
      <c r="D105" s="1">
        <f t="shared" si="2"/>
        <v>6524190.918</v>
      </c>
      <c r="E105" s="1">
        <v>36.85599899</v>
      </c>
      <c r="F105" s="1">
        <f t="shared" si="3"/>
        <v>2404555.739</v>
      </c>
      <c r="G105" s="1">
        <f t="shared" si="4"/>
        <v>63.14400101</v>
      </c>
      <c r="H105" s="1">
        <v>91.69930522</v>
      </c>
      <c r="I105" s="1">
        <f t="shared" si="15"/>
        <v>92</v>
      </c>
      <c r="J105" s="1">
        <v>1.900734111</v>
      </c>
      <c r="K105" s="1">
        <v>1.8656487</v>
      </c>
      <c r="L105" s="1">
        <v>4.534311965</v>
      </c>
      <c r="M105" s="1">
        <v>87.258429</v>
      </c>
      <c r="N105" s="1">
        <v>2.606070485</v>
      </c>
      <c r="O105" s="1">
        <v>2.954593684</v>
      </c>
      <c r="P105" s="1">
        <v>7.180906832</v>
      </c>
      <c r="Q105" s="1">
        <v>99.30769231</v>
      </c>
      <c r="R105" s="1">
        <v>0.6923076923</v>
      </c>
      <c r="S105" s="1">
        <v>0.0</v>
      </c>
      <c r="T105" s="1">
        <v>0.0</v>
      </c>
      <c r="U105" s="2">
        <f t="shared" si="6"/>
        <v>0</v>
      </c>
    </row>
    <row r="106">
      <c r="A106" s="1" t="s">
        <v>49</v>
      </c>
      <c r="B106" s="1">
        <v>6624.554199</v>
      </c>
      <c r="C106" s="1">
        <f t="shared" si="1"/>
        <v>7</v>
      </c>
      <c r="D106" s="1">
        <f t="shared" si="2"/>
        <v>6624554.199</v>
      </c>
      <c r="E106" s="1">
        <v>59.01200104</v>
      </c>
      <c r="F106" s="1">
        <f t="shared" si="3"/>
        <v>3909281.993</v>
      </c>
      <c r="G106" s="1">
        <f t="shared" si="4"/>
        <v>40.98799896</v>
      </c>
      <c r="H106" s="1">
        <v>81.7087538</v>
      </c>
      <c r="I106" s="1">
        <f t="shared" si="15"/>
        <v>82</v>
      </c>
      <c r="J106" s="1">
        <v>1.506645682</v>
      </c>
      <c r="K106" s="1">
        <v>13.53053114</v>
      </c>
      <c r="L106" s="1">
        <v>3.254069378</v>
      </c>
      <c r="M106" s="1">
        <v>59.10744663</v>
      </c>
      <c r="N106" s="1">
        <v>3.520974285</v>
      </c>
      <c r="O106" s="1">
        <v>29.78017368</v>
      </c>
      <c r="P106" s="1">
        <v>7.5914054</v>
      </c>
      <c r="Q106" s="1">
        <v>97.40695661</v>
      </c>
      <c r="R106" s="1">
        <v>0.1075523143</v>
      </c>
      <c r="S106" s="1">
        <v>2.244007656</v>
      </c>
      <c r="T106" s="1">
        <v>0.2414834229</v>
      </c>
      <c r="U106" s="2">
        <f t="shared" si="6"/>
        <v>2</v>
      </c>
    </row>
    <row r="107">
      <c r="A107" s="1" t="s">
        <v>49</v>
      </c>
      <c r="B107" s="1">
        <v>6825.441895</v>
      </c>
      <c r="C107" s="1">
        <f t="shared" si="1"/>
        <v>7</v>
      </c>
      <c r="D107" s="1">
        <f t="shared" si="2"/>
        <v>6825441.895</v>
      </c>
      <c r="E107" s="1">
        <v>88.92499542</v>
      </c>
      <c r="F107" s="1">
        <f t="shared" si="3"/>
        <v>6069523.893</v>
      </c>
      <c r="G107" s="1">
        <f t="shared" si="4"/>
        <v>11.07500458</v>
      </c>
      <c r="H107" s="1">
        <v>92.6</v>
      </c>
      <c r="I107" s="1">
        <f t="shared" si="15"/>
        <v>93</v>
      </c>
      <c r="J107" s="1">
        <v>7.4</v>
      </c>
      <c r="K107" s="1">
        <v>0.0</v>
      </c>
      <c r="L107" s="1">
        <v>0.0</v>
      </c>
      <c r="M107" s="1" t="s">
        <v>18</v>
      </c>
      <c r="N107" s="1" t="s">
        <v>18</v>
      </c>
      <c r="O107" s="1" t="s">
        <v>18</v>
      </c>
      <c r="P107" s="1" t="s">
        <v>18</v>
      </c>
      <c r="Q107" s="1" t="s">
        <v>18</v>
      </c>
      <c r="R107" s="1" t="s">
        <v>18</v>
      </c>
      <c r="S107" s="1" t="s">
        <v>18</v>
      </c>
      <c r="T107" s="1" t="s">
        <v>18</v>
      </c>
      <c r="U107" s="2">
        <f t="shared" si="6"/>
        <v>2</v>
      </c>
    </row>
    <row r="108">
      <c r="A108" s="1" t="s">
        <v>29</v>
      </c>
      <c r="B108" s="1">
        <v>6871.287109</v>
      </c>
      <c r="C108" s="1">
        <f t="shared" si="1"/>
        <v>7</v>
      </c>
      <c r="D108" s="1">
        <f t="shared" si="2"/>
        <v>6871287.109</v>
      </c>
      <c r="E108" s="1">
        <v>80.69100189</v>
      </c>
      <c r="F108" s="1">
        <f t="shared" si="3"/>
        <v>5544510.411</v>
      </c>
      <c r="G108" s="1">
        <f t="shared" si="4"/>
        <v>19.30899811</v>
      </c>
      <c r="H108" s="1">
        <v>99.8915238</v>
      </c>
      <c r="I108" s="1">
        <f t="shared" si="15"/>
        <v>100</v>
      </c>
      <c r="J108" s="1">
        <v>0.0</v>
      </c>
      <c r="K108" s="1">
        <v>0.1084762012</v>
      </c>
      <c r="L108" s="1">
        <v>0.0</v>
      </c>
      <c r="M108" s="1" t="s">
        <v>18</v>
      </c>
      <c r="N108" s="1" t="s">
        <v>18</v>
      </c>
      <c r="O108" s="1" t="s">
        <v>18</v>
      </c>
      <c r="P108" s="1" t="s">
        <v>18</v>
      </c>
      <c r="Q108" s="1" t="s">
        <v>18</v>
      </c>
      <c r="R108" s="1" t="s">
        <v>18</v>
      </c>
      <c r="S108" s="1" t="s">
        <v>18</v>
      </c>
      <c r="T108" s="1" t="s">
        <v>18</v>
      </c>
      <c r="U108" s="2">
        <f t="shared" si="6"/>
        <v>3</v>
      </c>
    </row>
    <row r="109">
      <c r="A109" s="1" t="s">
        <v>29</v>
      </c>
      <c r="B109" s="1">
        <v>6948.444824</v>
      </c>
      <c r="C109" s="1">
        <f t="shared" si="1"/>
        <v>7</v>
      </c>
      <c r="D109" s="1">
        <f t="shared" si="2"/>
        <v>6948444.824</v>
      </c>
      <c r="E109" s="1">
        <v>75.68599701</v>
      </c>
      <c r="F109" s="1">
        <f t="shared" si="3"/>
        <v>5258999.742</v>
      </c>
      <c r="G109" s="1">
        <f t="shared" si="4"/>
        <v>24.31400299</v>
      </c>
      <c r="H109" s="1">
        <v>99.01141694</v>
      </c>
      <c r="I109" s="1">
        <f t="shared" si="15"/>
        <v>100</v>
      </c>
      <c r="J109" s="1">
        <v>0.0</v>
      </c>
      <c r="K109" s="1">
        <v>0.9885830607</v>
      </c>
      <c r="L109" s="1">
        <v>0.0</v>
      </c>
      <c r="M109" s="1">
        <v>97.40128797</v>
      </c>
      <c r="N109" s="1">
        <v>0.0</v>
      </c>
      <c r="O109" s="1">
        <v>2.598712031</v>
      </c>
      <c r="P109" s="1">
        <v>0.0</v>
      </c>
      <c r="Q109" s="1">
        <v>99.5286704</v>
      </c>
      <c r="R109" s="1">
        <v>0.0</v>
      </c>
      <c r="S109" s="1">
        <v>0.4713296007</v>
      </c>
      <c r="T109" s="1">
        <v>0.0</v>
      </c>
      <c r="U109" s="2">
        <f t="shared" si="6"/>
        <v>3</v>
      </c>
    </row>
    <row r="110">
      <c r="A110" s="1" t="s">
        <v>29</v>
      </c>
      <c r="B110" s="1">
        <v>7132.529785</v>
      </c>
      <c r="C110" s="1">
        <f t="shared" si="1"/>
        <v>8</v>
      </c>
      <c r="D110" s="1">
        <f t="shared" si="2"/>
        <v>7132529.785</v>
      </c>
      <c r="E110" s="1">
        <v>62.18299484</v>
      </c>
      <c r="F110" s="1">
        <f t="shared" si="3"/>
        <v>4435220.628</v>
      </c>
      <c r="G110" s="1">
        <f t="shared" si="4"/>
        <v>37.81700516</v>
      </c>
      <c r="H110" s="1">
        <v>99.59346633</v>
      </c>
      <c r="I110" s="1">
        <f t="shared" si="15"/>
        <v>100</v>
      </c>
      <c r="J110" s="1">
        <v>0.4065302439</v>
      </c>
      <c r="K110" s="1">
        <v>3.4229177E-6</v>
      </c>
      <c r="L110" s="1">
        <v>0.0</v>
      </c>
      <c r="M110" s="1">
        <v>99.11122753</v>
      </c>
      <c r="N110" s="1">
        <v>0.8887724684</v>
      </c>
      <c r="O110" s="1">
        <v>0.0</v>
      </c>
      <c r="P110" s="1">
        <v>0.0</v>
      </c>
      <c r="Q110" s="1">
        <v>99.88674854</v>
      </c>
      <c r="R110" s="1">
        <v>0.1132514643</v>
      </c>
      <c r="S110" s="1">
        <v>0.0</v>
      </c>
      <c r="T110" s="1">
        <v>0.0</v>
      </c>
      <c r="U110" s="2">
        <f t="shared" si="6"/>
        <v>3</v>
      </c>
    </row>
    <row r="111">
      <c r="A111" s="1" t="s">
        <v>49</v>
      </c>
      <c r="B111" s="1">
        <v>7275.556152</v>
      </c>
      <c r="C111" s="1">
        <f t="shared" si="1"/>
        <v>8</v>
      </c>
      <c r="D111" s="1">
        <f t="shared" si="2"/>
        <v>7275556.152</v>
      </c>
      <c r="E111" s="1">
        <v>36.29000092</v>
      </c>
      <c r="F111" s="1">
        <f t="shared" si="3"/>
        <v>2640299.394</v>
      </c>
      <c r="G111" s="1">
        <f t="shared" si="4"/>
        <v>63.70999908</v>
      </c>
      <c r="H111" s="1">
        <v>85.21974318</v>
      </c>
      <c r="I111" s="1">
        <f t="shared" si="15"/>
        <v>86</v>
      </c>
      <c r="J111" s="1">
        <v>3.566857739</v>
      </c>
      <c r="K111" s="1">
        <v>10.62886799</v>
      </c>
      <c r="L111" s="1">
        <v>0.5845310938</v>
      </c>
      <c r="M111" s="1">
        <v>78.47295942</v>
      </c>
      <c r="N111" s="1">
        <v>5.598583786</v>
      </c>
      <c r="O111" s="1">
        <v>15.0109696</v>
      </c>
      <c r="P111" s="1">
        <v>0.9174871957</v>
      </c>
      <c r="Q111" s="1">
        <v>97.06426222</v>
      </c>
      <c r="R111" s="1">
        <v>0.0</v>
      </c>
      <c r="S111" s="1">
        <v>2.935737778</v>
      </c>
      <c r="T111" s="1">
        <v>0.0</v>
      </c>
      <c r="U111" s="2">
        <f t="shared" si="6"/>
        <v>2</v>
      </c>
    </row>
    <row r="112">
      <c r="A112" s="1" t="s">
        <v>26</v>
      </c>
      <c r="B112" s="1">
        <v>7496.987793</v>
      </c>
      <c r="C112" s="1">
        <f t="shared" si="1"/>
        <v>8</v>
      </c>
      <c r="D112" s="1">
        <f t="shared" si="2"/>
        <v>7496987.793</v>
      </c>
      <c r="E112" s="1">
        <v>100.0</v>
      </c>
      <c r="F112" s="1">
        <f t="shared" si="3"/>
        <v>7496987.793</v>
      </c>
      <c r="G112" s="1">
        <f t="shared" si="4"/>
        <v>0</v>
      </c>
      <c r="H112" s="1">
        <v>100.0</v>
      </c>
      <c r="I112" s="1">
        <f t="shared" si="15"/>
        <v>100</v>
      </c>
      <c r="J112" s="1">
        <v>0.0</v>
      </c>
      <c r="K112" s="1">
        <v>0.0</v>
      </c>
      <c r="L112" s="1">
        <v>0.0</v>
      </c>
      <c r="M112" s="1" t="s">
        <v>18</v>
      </c>
      <c r="N112" s="1" t="s">
        <v>18</v>
      </c>
      <c r="O112" s="1" t="s">
        <v>18</v>
      </c>
      <c r="P112" s="1" t="s">
        <v>18</v>
      </c>
      <c r="Q112" s="1">
        <v>100.0</v>
      </c>
      <c r="R112" s="1">
        <v>0.0</v>
      </c>
      <c r="S112" s="1">
        <v>0.0</v>
      </c>
      <c r="T112" s="1">
        <v>0.0</v>
      </c>
      <c r="U112" s="2">
        <f t="shared" si="6"/>
        <v>4</v>
      </c>
    </row>
    <row r="113">
      <c r="A113" s="1" t="s">
        <v>87</v>
      </c>
      <c r="B113" s="1">
        <v>7976.984863</v>
      </c>
      <c r="C113" s="1">
        <f t="shared" si="1"/>
        <v>8</v>
      </c>
      <c r="D113" s="1">
        <f t="shared" si="2"/>
        <v>7976984.863</v>
      </c>
      <c r="E113" s="1">
        <v>42.92300034</v>
      </c>
      <c r="F113" s="1">
        <f t="shared" si="3"/>
        <v>3423961.24</v>
      </c>
      <c r="G113" s="1">
        <f t="shared" si="4"/>
        <v>57.07699966</v>
      </c>
      <c r="H113" s="1">
        <v>63.76628562</v>
      </c>
      <c r="I113" s="1">
        <f t="shared" si="15"/>
        <v>64</v>
      </c>
      <c r="J113" s="1">
        <v>9.023316357</v>
      </c>
      <c r="K113" s="1">
        <v>15.5639457</v>
      </c>
      <c r="L113" s="1">
        <v>11.64645233</v>
      </c>
      <c r="M113" s="1">
        <v>52.75270267</v>
      </c>
      <c r="N113" s="1">
        <v>5.221136889</v>
      </c>
      <c r="O113" s="1">
        <v>23.14294909</v>
      </c>
      <c r="P113" s="1">
        <v>18.88321135</v>
      </c>
      <c r="Q113" s="1">
        <v>78.41163766</v>
      </c>
      <c r="R113" s="1">
        <v>14.07927743</v>
      </c>
      <c r="S113" s="1">
        <v>5.485735437</v>
      </c>
      <c r="T113" s="1">
        <v>2.023349475</v>
      </c>
      <c r="U113" s="2">
        <f t="shared" si="6"/>
        <v>1</v>
      </c>
    </row>
    <row r="114">
      <c r="A114" s="1" t="s">
        <v>87</v>
      </c>
      <c r="B114" s="1">
        <v>8278.737305</v>
      </c>
      <c r="C114" s="1">
        <f t="shared" si="1"/>
        <v>9</v>
      </c>
      <c r="D114" s="1">
        <f t="shared" si="2"/>
        <v>8278737.305</v>
      </c>
      <c r="E114" s="1">
        <v>42.79999924</v>
      </c>
      <c r="F114" s="1">
        <f t="shared" si="3"/>
        <v>3543299.504</v>
      </c>
      <c r="G114" s="1">
        <f t="shared" si="4"/>
        <v>57.20000076</v>
      </c>
      <c r="H114" s="1">
        <v>68.58372009</v>
      </c>
      <c r="I114" s="1">
        <f t="shared" si="15"/>
        <v>69</v>
      </c>
      <c r="J114" s="1">
        <v>6.065434765</v>
      </c>
      <c r="K114" s="1">
        <v>14.16432245</v>
      </c>
      <c r="L114" s="1">
        <v>11.18652269</v>
      </c>
      <c r="M114" s="1">
        <v>52.11755275</v>
      </c>
      <c r="N114" s="1">
        <v>8.187542019</v>
      </c>
      <c r="O114" s="1">
        <v>20.7910842</v>
      </c>
      <c r="P114" s="1">
        <v>18.90382103</v>
      </c>
      <c r="Q114" s="1">
        <v>90.58991001</v>
      </c>
      <c r="R114" s="1">
        <v>3.229348056</v>
      </c>
      <c r="S114" s="1">
        <v>5.307990528</v>
      </c>
      <c r="T114" s="1">
        <v>0.8727514049</v>
      </c>
      <c r="U114" s="2">
        <f t="shared" si="6"/>
        <v>1</v>
      </c>
    </row>
    <row r="115">
      <c r="A115" s="1" t="s">
        <v>26</v>
      </c>
      <c r="B115" s="1">
        <v>8654.618164</v>
      </c>
      <c r="C115" s="1">
        <f t="shared" si="1"/>
        <v>9</v>
      </c>
      <c r="D115" s="1">
        <f t="shared" si="2"/>
        <v>8654618.164</v>
      </c>
      <c r="E115" s="1">
        <v>73.91500092</v>
      </c>
      <c r="F115" s="1">
        <f t="shared" si="3"/>
        <v>6397061.096</v>
      </c>
      <c r="G115" s="1">
        <f t="shared" si="4"/>
        <v>26.08499908</v>
      </c>
      <c r="H115" s="1">
        <v>100.0000028</v>
      </c>
      <c r="I115" s="1">
        <f>if(H115&gt;100, 100, H95)</f>
        <v>100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  <c r="Q115" s="1">
        <v>100.0</v>
      </c>
      <c r="R115" s="1">
        <v>0.0</v>
      </c>
      <c r="S115" s="1">
        <v>0.0</v>
      </c>
      <c r="T115" s="1">
        <v>0.0</v>
      </c>
      <c r="U115" s="2">
        <f t="shared" si="6"/>
        <v>4</v>
      </c>
    </row>
    <row r="116">
      <c r="A116" s="1" t="s">
        <v>26</v>
      </c>
      <c r="B116" s="1">
        <v>8655.541016</v>
      </c>
      <c r="C116" s="1">
        <f t="shared" si="1"/>
        <v>9</v>
      </c>
      <c r="D116" s="1">
        <f t="shared" si="2"/>
        <v>8655541.016</v>
      </c>
      <c r="E116" s="1">
        <v>92.58699799</v>
      </c>
      <c r="F116" s="1">
        <f t="shared" si="3"/>
        <v>8013905.587</v>
      </c>
      <c r="G116" s="1">
        <f t="shared" si="4"/>
        <v>7.41300201</v>
      </c>
      <c r="H116" s="1">
        <v>100.0</v>
      </c>
      <c r="I116" s="1">
        <f t="shared" ref="I116:I128" si="16">ROUNDUP(H116,0)</f>
        <v>100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  <c r="Q116" s="1">
        <v>100.0</v>
      </c>
      <c r="R116" s="1">
        <v>0.0</v>
      </c>
      <c r="S116" s="1">
        <v>0.0</v>
      </c>
      <c r="T116" s="1">
        <v>0.0</v>
      </c>
      <c r="U116" s="2">
        <f t="shared" si="6"/>
        <v>4</v>
      </c>
    </row>
    <row r="117">
      <c r="A117" s="1" t="s">
        <v>29</v>
      </c>
      <c r="B117" s="1">
        <v>8737.370117</v>
      </c>
      <c r="C117" s="1">
        <f t="shared" si="1"/>
        <v>9</v>
      </c>
      <c r="D117" s="1">
        <f t="shared" si="2"/>
        <v>8737370.117</v>
      </c>
      <c r="E117" s="1">
        <v>56.44599915</v>
      </c>
      <c r="F117" s="1">
        <f t="shared" si="3"/>
        <v>4931895.862</v>
      </c>
      <c r="G117" s="1">
        <f t="shared" si="4"/>
        <v>43.55400085</v>
      </c>
      <c r="H117" s="1">
        <v>95.29552932</v>
      </c>
      <c r="I117" s="1">
        <f t="shared" si="16"/>
        <v>96</v>
      </c>
      <c r="J117" s="1">
        <v>4.244199279</v>
      </c>
      <c r="K117" s="1">
        <v>0.4437204778</v>
      </c>
      <c r="L117" s="1">
        <v>0.01655092647</v>
      </c>
      <c r="M117" s="1">
        <v>95.84497475</v>
      </c>
      <c r="N117" s="1">
        <v>3.545864028</v>
      </c>
      <c r="O117" s="1">
        <v>0.5711602866</v>
      </c>
      <c r="P117" s="1">
        <v>0.03800093141</v>
      </c>
      <c r="Q117" s="1">
        <v>94.87156989</v>
      </c>
      <c r="R117" s="1">
        <v>4.783037865</v>
      </c>
      <c r="S117" s="1">
        <v>0.3453922445</v>
      </c>
      <c r="T117" s="1">
        <v>0.0</v>
      </c>
      <c r="U117" s="2">
        <f t="shared" si="6"/>
        <v>3</v>
      </c>
    </row>
    <row r="118">
      <c r="A118" s="1" t="s">
        <v>49</v>
      </c>
      <c r="B118" s="1">
        <v>8947.027344</v>
      </c>
      <c r="C118" s="1">
        <f t="shared" si="1"/>
        <v>9</v>
      </c>
      <c r="D118" s="1">
        <f t="shared" si="2"/>
        <v>8947027.344</v>
      </c>
      <c r="E118" s="1">
        <v>13.34500027</v>
      </c>
      <c r="F118" s="1">
        <f t="shared" si="3"/>
        <v>1193980.823</v>
      </c>
      <c r="G118" s="1">
        <f t="shared" si="4"/>
        <v>86.65499973</v>
      </c>
      <c r="H118" s="1">
        <v>45.34401752</v>
      </c>
      <c r="I118" s="1">
        <f t="shared" si="16"/>
        <v>46</v>
      </c>
      <c r="J118" s="1">
        <v>2.128564452</v>
      </c>
      <c r="K118" s="1">
        <v>22.15762495</v>
      </c>
      <c r="L118" s="1">
        <v>30.36979308</v>
      </c>
      <c r="M118" s="1">
        <v>39.07134367</v>
      </c>
      <c r="N118" s="1">
        <v>2.429850293</v>
      </c>
      <c r="O118" s="1">
        <v>24.43180086</v>
      </c>
      <c r="P118" s="1">
        <v>34.06700517</v>
      </c>
      <c r="Q118" s="1">
        <v>86.07527164</v>
      </c>
      <c r="R118" s="1">
        <v>0.1721822608</v>
      </c>
      <c r="S118" s="1">
        <v>7.390385564</v>
      </c>
      <c r="T118" s="1">
        <v>6.362160532</v>
      </c>
      <c r="U118" s="2">
        <f t="shared" si="6"/>
        <v>2</v>
      </c>
    </row>
    <row r="119">
      <c r="A119" s="1" t="s">
        <v>26</v>
      </c>
      <c r="B119" s="1">
        <v>9006.400391</v>
      </c>
      <c r="C119" s="1">
        <f t="shared" si="1"/>
        <v>10</v>
      </c>
      <c r="D119" s="1">
        <f t="shared" si="2"/>
        <v>9006400.391</v>
      </c>
      <c r="E119" s="1">
        <v>58.7480011</v>
      </c>
      <c r="F119" s="1">
        <f t="shared" si="3"/>
        <v>5291080.201</v>
      </c>
      <c r="G119" s="1">
        <f t="shared" si="4"/>
        <v>41.2519989</v>
      </c>
      <c r="H119" s="1">
        <v>100.0</v>
      </c>
      <c r="I119" s="1">
        <f t="shared" si="16"/>
        <v>100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1">
        <v>100.0</v>
      </c>
      <c r="R119" s="1">
        <v>0.0</v>
      </c>
      <c r="S119" s="1">
        <v>0.0</v>
      </c>
      <c r="T119" s="1">
        <v>0.0</v>
      </c>
      <c r="U119" s="2">
        <f t="shared" si="6"/>
        <v>4</v>
      </c>
    </row>
    <row r="120">
      <c r="A120" s="1" t="s">
        <v>29</v>
      </c>
      <c r="B120" s="1">
        <v>9449.321289</v>
      </c>
      <c r="C120" s="1">
        <f t="shared" si="1"/>
        <v>10</v>
      </c>
      <c r="D120" s="1">
        <f t="shared" si="2"/>
        <v>9449321.289</v>
      </c>
      <c r="E120" s="1">
        <v>79.48300171</v>
      </c>
      <c r="F120" s="1">
        <f t="shared" si="3"/>
        <v>7510604.202</v>
      </c>
      <c r="G120" s="1">
        <f t="shared" si="4"/>
        <v>20.51699829</v>
      </c>
      <c r="H120" s="1">
        <v>96.53472608</v>
      </c>
      <c r="I120" s="1">
        <f t="shared" si="16"/>
        <v>97</v>
      </c>
      <c r="J120" s="1">
        <v>3.37211955</v>
      </c>
      <c r="K120" s="1">
        <v>0.09315436837</v>
      </c>
      <c r="L120" s="1">
        <v>0.0</v>
      </c>
      <c r="M120" s="1">
        <v>98.56412231</v>
      </c>
      <c r="N120" s="1">
        <v>0.9955971951</v>
      </c>
      <c r="O120" s="1">
        <v>0.4402804931</v>
      </c>
      <c r="P120" s="1">
        <v>0.0</v>
      </c>
      <c r="Q120" s="1">
        <v>96.01087362</v>
      </c>
      <c r="R120" s="1">
        <v>3.985572644</v>
      </c>
      <c r="S120" s="1">
        <v>0.003553731977</v>
      </c>
      <c r="T120" s="1">
        <v>0.0</v>
      </c>
      <c r="U120" s="2">
        <f t="shared" si="6"/>
        <v>3</v>
      </c>
    </row>
    <row r="121">
      <c r="A121" s="1" t="s">
        <v>49</v>
      </c>
      <c r="B121" s="1">
        <v>9537.641602</v>
      </c>
      <c r="C121" s="1">
        <f t="shared" si="1"/>
        <v>10</v>
      </c>
      <c r="D121" s="1">
        <f t="shared" si="2"/>
        <v>9537641.602</v>
      </c>
      <c r="E121" s="1">
        <v>27.50599861</v>
      </c>
      <c r="F121" s="1">
        <f t="shared" si="3"/>
        <v>2623423.566</v>
      </c>
      <c r="G121" s="1">
        <f t="shared" si="4"/>
        <v>72.49400139</v>
      </c>
      <c r="H121" s="1">
        <v>81.85241502</v>
      </c>
      <c r="I121" s="1">
        <f t="shared" si="16"/>
        <v>82</v>
      </c>
      <c r="J121" s="1">
        <v>2.568363935</v>
      </c>
      <c r="K121" s="1">
        <v>3.421857005</v>
      </c>
      <c r="L121" s="1">
        <v>12.15736404</v>
      </c>
      <c r="M121" s="1">
        <v>76.6435992</v>
      </c>
      <c r="N121" s="1">
        <v>3.207143928</v>
      </c>
      <c r="O121" s="1">
        <v>4.140706948</v>
      </c>
      <c r="P121" s="1">
        <v>16.00854992</v>
      </c>
      <c r="Q121" s="1">
        <v>95.58062386</v>
      </c>
      <c r="R121" s="1">
        <v>0.8848144763</v>
      </c>
      <c r="S121" s="1">
        <v>1.527268323</v>
      </c>
      <c r="T121" s="1">
        <v>2.007293339</v>
      </c>
      <c r="U121" s="2">
        <f t="shared" si="6"/>
        <v>2</v>
      </c>
    </row>
    <row r="122">
      <c r="A122" s="1" t="s">
        <v>26</v>
      </c>
      <c r="B122" s="1">
        <v>9660.349609</v>
      </c>
      <c r="C122" s="1">
        <f t="shared" si="1"/>
        <v>10</v>
      </c>
      <c r="D122" s="1">
        <f t="shared" si="2"/>
        <v>9660349.609</v>
      </c>
      <c r="E122" s="1">
        <v>71.94200134</v>
      </c>
      <c r="F122" s="1">
        <f t="shared" si="3"/>
        <v>6949848.845</v>
      </c>
      <c r="G122" s="1">
        <f t="shared" si="4"/>
        <v>28.05799866</v>
      </c>
      <c r="H122" s="1">
        <v>99.99999747</v>
      </c>
      <c r="I122" s="1">
        <f t="shared" si="16"/>
        <v>100</v>
      </c>
      <c r="J122" s="1">
        <v>0.0</v>
      </c>
      <c r="K122" s="1">
        <v>2.527244192E-6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  <c r="Q122" s="1">
        <v>100.0</v>
      </c>
      <c r="R122" s="1">
        <v>0.0</v>
      </c>
      <c r="S122" s="1">
        <v>0.0</v>
      </c>
      <c r="T122" s="1">
        <v>0.0</v>
      </c>
      <c r="U122" s="2">
        <f t="shared" si="6"/>
        <v>4</v>
      </c>
    </row>
    <row r="123">
      <c r="A123" s="1" t="s">
        <v>26</v>
      </c>
      <c r="B123" s="1">
        <v>9890.400391</v>
      </c>
      <c r="C123" s="1">
        <f t="shared" si="1"/>
        <v>10</v>
      </c>
      <c r="D123" s="1">
        <f t="shared" si="2"/>
        <v>9890400.391</v>
      </c>
      <c r="E123" s="1">
        <v>87.04799652</v>
      </c>
      <c r="F123" s="1">
        <f t="shared" si="3"/>
        <v>8609395.388</v>
      </c>
      <c r="G123" s="1">
        <f t="shared" si="4"/>
        <v>12.95200348</v>
      </c>
      <c r="H123" s="1">
        <v>99.965596</v>
      </c>
      <c r="I123" s="1">
        <f t="shared" si="16"/>
        <v>100</v>
      </c>
      <c r="J123" s="1">
        <v>0.0</v>
      </c>
      <c r="K123" s="1">
        <v>0.034404</v>
      </c>
      <c r="L123" s="1">
        <v>0.0</v>
      </c>
      <c r="M123" s="1" t="s">
        <v>18</v>
      </c>
      <c r="N123" s="1" t="s">
        <v>18</v>
      </c>
      <c r="O123" s="1" t="s">
        <v>18</v>
      </c>
      <c r="P123" s="1" t="s">
        <v>18</v>
      </c>
      <c r="Q123" s="1" t="s">
        <v>18</v>
      </c>
      <c r="R123" s="1" t="s">
        <v>18</v>
      </c>
      <c r="S123" s="1" t="s">
        <v>18</v>
      </c>
      <c r="T123" s="1" t="s">
        <v>18</v>
      </c>
      <c r="U123" s="2">
        <f t="shared" si="6"/>
        <v>4</v>
      </c>
    </row>
    <row r="124">
      <c r="A124" s="1" t="s">
        <v>49</v>
      </c>
      <c r="B124" s="1">
        <v>9904.608398</v>
      </c>
      <c r="C124" s="1">
        <f t="shared" si="1"/>
        <v>10</v>
      </c>
      <c r="D124" s="1">
        <f t="shared" si="2"/>
        <v>9904608.398</v>
      </c>
      <c r="E124" s="1">
        <v>58.35899734</v>
      </c>
      <c r="F124" s="1">
        <f t="shared" si="3"/>
        <v>5780230.152</v>
      </c>
      <c r="G124" s="1">
        <f t="shared" si="4"/>
        <v>41.64100266</v>
      </c>
      <c r="H124" s="1">
        <v>95.68922113</v>
      </c>
      <c r="I124" s="1">
        <f t="shared" si="16"/>
        <v>96</v>
      </c>
      <c r="J124" s="1">
        <v>0.4256206085</v>
      </c>
      <c r="K124" s="1">
        <v>3.885158264</v>
      </c>
      <c r="L124" s="1">
        <v>0.0</v>
      </c>
      <c r="M124" s="1">
        <v>89.87579955</v>
      </c>
      <c r="N124" s="1">
        <v>0.8067095079</v>
      </c>
      <c r="O124" s="1">
        <v>9.317490946</v>
      </c>
      <c r="P124" s="1">
        <v>0.0</v>
      </c>
      <c r="Q124" s="1">
        <v>99.83728281</v>
      </c>
      <c r="R124" s="1">
        <v>0.1537015262</v>
      </c>
      <c r="S124" s="1">
        <v>0.009015663296</v>
      </c>
      <c r="T124" s="1">
        <v>0.0</v>
      </c>
      <c r="U124" s="2">
        <f t="shared" si="6"/>
        <v>2</v>
      </c>
    </row>
    <row r="125">
      <c r="A125" s="1" t="s">
        <v>26</v>
      </c>
      <c r="B125" s="1">
        <v>10099.26953</v>
      </c>
      <c r="C125" s="1">
        <f t="shared" si="1"/>
        <v>11</v>
      </c>
      <c r="D125" s="1">
        <f t="shared" si="2"/>
        <v>10099269.53</v>
      </c>
      <c r="E125" s="1">
        <v>87.97699738</v>
      </c>
      <c r="F125" s="1">
        <f t="shared" si="3"/>
        <v>8885034.09</v>
      </c>
      <c r="G125" s="1">
        <f t="shared" si="4"/>
        <v>12.02300262</v>
      </c>
      <c r="H125" s="1">
        <v>99.82686763</v>
      </c>
      <c r="I125" s="1">
        <f t="shared" si="16"/>
        <v>100</v>
      </c>
      <c r="J125" s="1">
        <v>0.0</v>
      </c>
      <c r="K125" s="1">
        <v>0.1731323735</v>
      </c>
      <c r="L125" s="1">
        <v>0.0</v>
      </c>
      <c r="M125" s="1">
        <v>99.71937474</v>
      </c>
      <c r="N125" s="1">
        <v>0.0</v>
      </c>
      <c r="O125" s="1">
        <v>0.2806252626</v>
      </c>
      <c r="P125" s="1">
        <v>0.0</v>
      </c>
      <c r="Q125" s="1">
        <v>99.84155768</v>
      </c>
      <c r="R125" s="1">
        <v>0.0</v>
      </c>
      <c r="S125" s="1">
        <v>0.1584423157</v>
      </c>
      <c r="T125" s="1">
        <v>0.0</v>
      </c>
      <c r="U125" s="2">
        <f t="shared" si="6"/>
        <v>4</v>
      </c>
    </row>
    <row r="126">
      <c r="A126" s="1" t="s">
        <v>29</v>
      </c>
      <c r="B126" s="1">
        <v>10139.1748</v>
      </c>
      <c r="C126" s="1">
        <f t="shared" si="1"/>
        <v>11</v>
      </c>
      <c r="D126" s="1">
        <f t="shared" si="2"/>
        <v>10139174.8</v>
      </c>
      <c r="E126" s="1">
        <v>56.39700317</v>
      </c>
      <c r="F126" s="1">
        <f t="shared" si="3"/>
        <v>5718190.733</v>
      </c>
      <c r="G126" s="1">
        <f t="shared" si="4"/>
        <v>43.60299683</v>
      </c>
      <c r="H126" s="1">
        <v>96.04337613</v>
      </c>
      <c r="I126" s="1">
        <f t="shared" si="16"/>
        <v>97</v>
      </c>
      <c r="J126" s="1">
        <v>1.04278118</v>
      </c>
      <c r="K126" s="1">
        <v>2.913842688</v>
      </c>
      <c r="L126" s="1">
        <v>0.0</v>
      </c>
      <c r="M126" s="1">
        <v>90.92579795</v>
      </c>
      <c r="N126" s="1">
        <v>2.391535671</v>
      </c>
      <c r="O126" s="1">
        <v>6.682666377</v>
      </c>
      <c r="P126" s="1">
        <v>0.0</v>
      </c>
      <c r="Q126" s="1">
        <v>100.0</v>
      </c>
      <c r="R126" s="1">
        <v>0.0</v>
      </c>
      <c r="S126" s="1">
        <v>0.0</v>
      </c>
      <c r="T126" s="1">
        <v>0.0</v>
      </c>
      <c r="U126" s="2">
        <f t="shared" si="6"/>
        <v>3</v>
      </c>
    </row>
    <row r="127">
      <c r="A127" s="1" t="s">
        <v>26</v>
      </c>
      <c r="B127" s="1">
        <v>10196.70703</v>
      </c>
      <c r="C127" s="1">
        <f t="shared" si="1"/>
        <v>11</v>
      </c>
      <c r="D127" s="1">
        <f t="shared" si="2"/>
        <v>10196707.03</v>
      </c>
      <c r="E127" s="1">
        <v>66.30999756</v>
      </c>
      <c r="F127" s="1">
        <f t="shared" si="3"/>
        <v>6761436.183</v>
      </c>
      <c r="G127" s="1">
        <f t="shared" si="4"/>
        <v>33.69000244</v>
      </c>
      <c r="H127" s="1">
        <v>99.91199367</v>
      </c>
      <c r="I127" s="1">
        <f t="shared" si="16"/>
        <v>100</v>
      </c>
      <c r="J127" s="1">
        <v>0.0</v>
      </c>
      <c r="K127" s="1">
        <v>0.08800633369</v>
      </c>
      <c r="L127" s="1">
        <v>0.0</v>
      </c>
      <c r="M127" s="1">
        <v>99.73877609</v>
      </c>
      <c r="N127" s="1">
        <v>0.0</v>
      </c>
      <c r="O127" s="1">
        <v>0.2612239122</v>
      </c>
      <c r="P127" s="1">
        <v>0.0</v>
      </c>
      <c r="Q127" s="1">
        <v>100.0</v>
      </c>
      <c r="R127" s="1">
        <v>0.0</v>
      </c>
      <c r="S127" s="1">
        <v>0.0</v>
      </c>
      <c r="T127" s="1">
        <v>0.0</v>
      </c>
      <c r="U127" s="2">
        <f t="shared" si="6"/>
        <v>4</v>
      </c>
    </row>
    <row r="128">
      <c r="A128" s="1" t="s">
        <v>29</v>
      </c>
      <c r="B128" s="1">
        <v>10203.13965</v>
      </c>
      <c r="C128" s="1">
        <f t="shared" si="1"/>
        <v>11</v>
      </c>
      <c r="D128" s="1">
        <f t="shared" si="2"/>
        <v>10203139.65</v>
      </c>
      <c r="E128" s="1">
        <v>91.41799927</v>
      </c>
      <c r="F128" s="1">
        <f t="shared" si="3"/>
        <v>9327506.131</v>
      </c>
      <c r="G128" s="1">
        <f t="shared" si="4"/>
        <v>8.58200073</v>
      </c>
      <c r="H128" s="1">
        <v>98.94030296</v>
      </c>
      <c r="I128" s="1">
        <f t="shared" si="16"/>
        <v>99</v>
      </c>
      <c r="J128" s="1">
        <v>0.1462147369</v>
      </c>
      <c r="K128" s="1">
        <v>0.8536474704</v>
      </c>
      <c r="L128" s="1">
        <v>0.05983483179</v>
      </c>
      <c r="M128" s="1">
        <v>97.31147869</v>
      </c>
      <c r="N128" s="1">
        <v>0.6239465945</v>
      </c>
      <c r="O128" s="1">
        <v>2.024714716</v>
      </c>
      <c r="P128" s="1">
        <v>0.03986</v>
      </c>
      <c r="Q128" s="1">
        <v>99.09321259</v>
      </c>
      <c r="R128" s="1">
        <v>0.1013669408</v>
      </c>
      <c r="S128" s="1">
        <v>0.7437104707</v>
      </c>
      <c r="T128" s="1">
        <v>0.06171</v>
      </c>
      <c r="U128" s="2">
        <f t="shared" si="6"/>
        <v>3</v>
      </c>
    </row>
    <row r="129">
      <c r="A129" s="1" t="s">
        <v>26</v>
      </c>
      <c r="B129" s="1">
        <v>10423.05566</v>
      </c>
      <c r="C129" s="1">
        <f t="shared" si="1"/>
        <v>11</v>
      </c>
      <c r="D129" s="1">
        <f t="shared" si="2"/>
        <v>10423055.66</v>
      </c>
      <c r="E129" s="1">
        <v>79.71500397</v>
      </c>
      <c r="F129" s="1">
        <f t="shared" si="3"/>
        <v>8308739.233</v>
      </c>
      <c r="G129" s="1">
        <f t="shared" si="4"/>
        <v>20.28499603</v>
      </c>
      <c r="H129" s="1">
        <v>100.0000023</v>
      </c>
      <c r="I129" s="1">
        <f>if(H129&gt;100, 100, H109)</f>
        <v>100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  <c r="Q129" s="1">
        <v>100.0</v>
      </c>
      <c r="R129" s="1">
        <v>0.0</v>
      </c>
      <c r="S129" s="1">
        <v>0.0</v>
      </c>
      <c r="T129" s="1">
        <v>0.0</v>
      </c>
      <c r="U129" s="2">
        <f t="shared" si="6"/>
        <v>4</v>
      </c>
    </row>
    <row r="130">
      <c r="A130" s="1" t="s">
        <v>26</v>
      </c>
      <c r="B130" s="1">
        <v>10708.98242</v>
      </c>
      <c r="C130" s="1">
        <f t="shared" si="1"/>
        <v>11</v>
      </c>
      <c r="D130" s="1">
        <f t="shared" si="2"/>
        <v>10708982.42</v>
      </c>
      <c r="E130" s="1">
        <v>74.06100464</v>
      </c>
      <c r="F130" s="1">
        <f t="shared" si="3"/>
        <v>7931179.967</v>
      </c>
      <c r="G130" s="1">
        <f t="shared" si="4"/>
        <v>25.93899536</v>
      </c>
      <c r="H130" s="1">
        <v>99.88059167</v>
      </c>
      <c r="I130" s="1">
        <f t="shared" ref="I130:I182" si="17">ROUNDUP(H130,0)</f>
        <v>100</v>
      </c>
      <c r="J130" s="1">
        <v>0.0</v>
      </c>
      <c r="K130" s="1">
        <v>0.1194083325</v>
      </c>
      <c r="L130" s="1">
        <v>0.0</v>
      </c>
      <c r="M130" s="1">
        <v>99.8175993</v>
      </c>
      <c r="N130" s="1">
        <v>0.0</v>
      </c>
      <c r="O130" s="1">
        <v>0.1824006965</v>
      </c>
      <c r="P130" s="1">
        <v>0.0</v>
      </c>
      <c r="Q130" s="1">
        <v>99.90265093</v>
      </c>
      <c r="R130" s="1">
        <v>0.0</v>
      </c>
      <c r="S130" s="1">
        <v>0.0973490679</v>
      </c>
      <c r="T130" s="1">
        <v>0.0</v>
      </c>
      <c r="U130" s="2">
        <f t="shared" si="6"/>
        <v>4</v>
      </c>
    </row>
    <row r="131">
      <c r="A131" s="1" t="s">
        <v>29</v>
      </c>
      <c r="B131" s="1">
        <v>10847.9043</v>
      </c>
      <c r="C131" s="1">
        <f t="shared" si="1"/>
        <v>11</v>
      </c>
      <c r="D131" s="1">
        <f t="shared" si="2"/>
        <v>10847904.3</v>
      </c>
      <c r="E131" s="1">
        <v>82.54000092</v>
      </c>
      <c r="F131" s="1">
        <f t="shared" si="3"/>
        <v>8953860.309</v>
      </c>
      <c r="G131" s="1">
        <f t="shared" si="4"/>
        <v>17.45999908</v>
      </c>
      <c r="H131" s="1">
        <v>96.68681192</v>
      </c>
      <c r="I131" s="1">
        <f t="shared" si="17"/>
        <v>97</v>
      </c>
      <c r="J131" s="1">
        <v>0.4670386504</v>
      </c>
      <c r="K131" s="1">
        <v>1.269428783</v>
      </c>
      <c r="L131" s="1">
        <v>1.576720644</v>
      </c>
      <c r="M131" s="1">
        <v>90.30446437</v>
      </c>
      <c r="N131" s="1">
        <v>1.385315508</v>
      </c>
      <c r="O131" s="1">
        <v>1.115118127</v>
      </c>
      <c r="P131" s="1">
        <v>7.195101991</v>
      </c>
      <c r="Q131" s="1">
        <v>98.03689158</v>
      </c>
      <c r="R131" s="1">
        <v>0.2727920359</v>
      </c>
      <c r="S131" s="1">
        <v>1.302073396</v>
      </c>
      <c r="T131" s="1">
        <v>0.3882429922</v>
      </c>
      <c r="U131" s="2">
        <f t="shared" si="6"/>
        <v>3</v>
      </c>
    </row>
    <row r="132">
      <c r="A132" s="1" t="s">
        <v>87</v>
      </c>
      <c r="B132" s="1">
        <v>11193.72852</v>
      </c>
      <c r="C132" s="1">
        <f t="shared" si="1"/>
        <v>12</v>
      </c>
      <c r="D132" s="1">
        <f t="shared" si="2"/>
        <v>11193728.52</v>
      </c>
      <c r="E132" s="1">
        <v>20.1989994</v>
      </c>
      <c r="F132" s="1">
        <f t="shared" si="3"/>
        <v>2261021.157</v>
      </c>
      <c r="G132" s="1">
        <f t="shared" si="4"/>
        <v>79.8010006</v>
      </c>
      <c r="H132" s="1">
        <v>40.95092717</v>
      </c>
      <c r="I132" s="1">
        <f t="shared" si="17"/>
        <v>41</v>
      </c>
      <c r="J132" s="1">
        <v>37.42696287</v>
      </c>
      <c r="K132" s="1">
        <v>13.53755519</v>
      </c>
      <c r="L132" s="1">
        <v>8.084554762</v>
      </c>
      <c r="M132" s="1">
        <v>33.59362881</v>
      </c>
      <c r="N132" s="1">
        <v>42.16438068</v>
      </c>
      <c r="O132" s="1">
        <v>14.11109616</v>
      </c>
      <c r="P132" s="1">
        <v>10.13089435</v>
      </c>
      <c r="Q132" s="1">
        <v>70.01770445</v>
      </c>
      <c r="R132" s="1">
        <v>18.71066092</v>
      </c>
      <c r="S132" s="1">
        <v>11.27163464</v>
      </c>
      <c r="T132" s="1">
        <v>0.0</v>
      </c>
      <c r="U132" s="2">
        <f t="shared" si="6"/>
        <v>1</v>
      </c>
    </row>
    <row r="133">
      <c r="A133" s="1" t="s">
        <v>29</v>
      </c>
      <c r="B133" s="1">
        <v>11326.61621</v>
      </c>
      <c r="C133" s="1">
        <f t="shared" si="1"/>
        <v>12</v>
      </c>
      <c r="D133" s="1">
        <f t="shared" si="2"/>
        <v>11326616.21</v>
      </c>
      <c r="E133" s="1">
        <v>77.19400024</v>
      </c>
      <c r="F133" s="1">
        <f t="shared" si="3"/>
        <v>8743468.144</v>
      </c>
      <c r="G133" s="1">
        <f t="shared" si="4"/>
        <v>22.80599976</v>
      </c>
      <c r="H133" s="1">
        <v>97.00269616</v>
      </c>
      <c r="I133" s="1">
        <f t="shared" si="17"/>
        <v>98</v>
      </c>
      <c r="J133" s="1">
        <v>1.471384542</v>
      </c>
      <c r="K133" s="1">
        <v>1.252811506</v>
      </c>
      <c r="L133" s="1">
        <v>0.2731077963</v>
      </c>
      <c r="M133" s="1">
        <v>94.38665114</v>
      </c>
      <c r="N133" s="1">
        <v>2.591752445</v>
      </c>
      <c r="O133" s="1">
        <v>1.905972935</v>
      </c>
      <c r="P133" s="1">
        <v>1.115623477</v>
      </c>
      <c r="Q133" s="1">
        <v>97.77557664</v>
      </c>
      <c r="R133" s="1">
        <v>1.1403859</v>
      </c>
      <c r="S133" s="1">
        <v>1.059840374</v>
      </c>
      <c r="T133" s="1">
        <v>0.02419708411</v>
      </c>
      <c r="U133" s="2">
        <f t="shared" si="6"/>
        <v>3</v>
      </c>
    </row>
    <row r="134">
      <c r="A134" s="1" t="s">
        <v>49</v>
      </c>
      <c r="B134" s="1">
        <v>11402.5332</v>
      </c>
      <c r="C134" s="1">
        <f t="shared" si="1"/>
        <v>12</v>
      </c>
      <c r="D134" s="1">
        <f t="shared" si="2"/>
        <v>11402533.2</v>
      </c>
      <c r="E134" s="1">
        <v>57.08799744</v>
      </c>
      <c r="F134" s="1">
        <f t="shared" si="3"/>
        <v>6509477.861</v>
      </c>
      <c r="G134" s="1">
        <f t="shared" si="4"/>
        <v>42.91200256</v>
      </c>
      <c r="H134" s="1">
        <v>66.6953084</v>
      </c>
      <c r="I134" s="1">
        <f t="shared" si="17"/>
        <v>67</v>
      </c>
      <c r="J134" s="1">
        <v>9.814543652</v>
      </c>
      <c r="K134" s="1">
        <v>23.49014795</v>
      </c>
      <c r="L134" s="1">
        <v>0.0</v>
      </c>
      <c r="M134" s="1">
        <v>42.8457001</v>
      </c>
      <c r="N134" s="1">
        <v>13.25598695</v>
      </c>
      <c r="O134" s="1">
        <v>43.89831295</v>
      </c>
      <c r="P134" s="1">
        <v>0.0</v>
      </c>
      <c r="Q134" s="1">
        <v>84.62262129</v>
      </c>
      <c r="R134" s="1">
        <v>7.227673879</v>
      </c>
      <c r="S134" s="1">
        <v>8.149704835</v>
      </c>
      <c r="T134" s="1">
        <v>0.0</v>
      </c>
      <c r="U134" s="2">
        <f t="shared" si="6"/>
        <v>2</v>
      </c>
    </row>
    <row r="135">
      <c r="A135" s="1" t="s">
        <v>26</v>
      </c>
      <c r="B135" s="1">
        <v>11589.61621</v>
      </c>
      <c r="C135" s="1">
        <f t="shared" si="1"/>
        <v>12</v>
      </c>
      <c r="D135" s="1">
        <f t="shared" si="2"/>
        <v>11589616.21</v>
      </c>
      <c r="E135" s="1">
        <v>98.07899475</v>
      </c>
      <c r="F135" s="1">
        <f t="shared" si="3"/>
        <v>11366979.07</v>
      </c>
      <c r="G135" s="1">
        <f t="shared" si="4"/>
        <v>1.92100525</v>
      </c>
      <c r="H135" s="1">
        <v>99.99999645</v>
      </c>
      <c r="I135" s="1">
        <f t="shared" si="17"/>
        <v>100</v>
      </c>
      <c r="J135" s="1">
        <v>0.0</v>
      </c>
      <c r="K135" s="1">
        <v>3.554796791E-6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  <c r="Q135" s="1">
        <v>100.0</v>
      </c>
      <c r="R135" s="1">
        <v>0.0</v>
      </c>
      <c r="S135" s="1">
        <v>0.0</v>
      </c>
      <c r="T135" s="1">
        <v>0.0</v>
      </c>
      <c r="U135" s="2">
        <f t="shared" si="6"/>
        <v>4</v>
      </c>
    </row>
    <row r="136">
      <c r="A136" s="1" t="s">
        <v>49</v>
      </c>
      <c r="B136" s="1">
        <v>11673.0293</v>
      </c>
      <c r="C136" s="1">
        <f t="shared" si="1"/>
        <v>12</v>
      </c>
      <c r="D136" s="1">
        <f t="shared" si="2"/>
        <v>11673029.3</v>
      </c>
      <c r="E136" s="1">
        <v>70.1230011</v>
      </c>
      <c r="F136" s="1">
        <f t="shared" si="3"/>
        <v>8185478.464</v>
      </c>
      <c r="G136" s="1">
        <f t="shared" si="4"/>
        <v>29.8769989</v>
      </c>
      <c r="H136" s="1">
        <v>93.39007163</v>
      </c>
      <c r="I136" s="1">
        <f t="shared" si="17"/>
        <v>94</v>
      </c>
      <c r="J136" s="1">
        <v>0.1365905296</v>
      </c>
      <c r="K136" s="1">
        <v>1.575010843</v>
      </c>
      <c r="L136" s="1">
        <v>4.898326997</v>
      </c>
      <c r="M136" s="1">
        <v>79.93664283</v>
      </c>
      <c r="N136" s="1">
        <v>0.2447364082</v>
      </c>
      <c r="O136" s="1">
        <v>3.954133693</v>
      </c>
      <c r="P136" s="1">
        <v>15.86448707</v>
      </c>
      <c r="Q136" s="1">
        <v>99.12211832</v>
      </c>
      <c r="R136" s="1">
        <v>0.09051328947</v>
      </c>
      <c r="S136" s="1">
        <v>0.5613453808</v>
      </c>
      <c r="T136" s="1">
        <v>0.2260230112</v>
      </c>
      <c r="U136" s="2">
        <f t="shared" si="6"/>
        <v>2</v>
      </c>
    </row>
    <row r="137">
      <c r="A137" s="1" t="s">
        <v>49</v>
      </c>
      <c r="B137" s="1">
        <v>11818.61816</v>
      </c>
      <c r="C137" s="1">
        <f t="shared" si="1"/>
        <v>12</v>
      </c>
      <c r="D137" s="1">
        <f t="shared" si="2"/>
        <v>11818618.16</v>
      </c>
      <c r="E137" s="1">
        <v>69.56800079</v>
      </c>
      <c r="F137" s="1">
        <f t="shared" si="3"/>
        <v>8221976.375</v>
      </c>
      <c r="G137" s="1">
        <f t="shared" si="4"/>
        <v>30.43199921</v>
      </c>
      <c r="H137" s="1">
        <v>97.54330899</v>
      </c>
      <c r="I137" s="1">
        <f t="shared" si="17"/>
        <v>98</v>
      </c>
      <c r="J137" s="1">
        <v>1.63135067</v>
      </c>
      <c r="K137" s="1">
        <v>0.8253403378</v>
      </c>
      <c r="L137" s="1">
        <v>0.0</v>
      </c>
      <c r="M137" s="1">
        <v>93.93623193</v>
      </c>
      <c r="N137" s="1">
        <v>3.351687357</v>
      </c>
      <c r="O137" s="1">
        <v>2.71208071</v>
      </c>
      <c r="P137" s="1">
        <v>0.0</v>
      </c>
      <c r="Q137" s="1">
        <v>99.12119763</v>
      </c>
      <c r="R137" s="1">
        <v>0.8788023684</v>
      </c>
      <c r="S137" s="1">
        <v>0.0</v>
      </c>
      <c r="T137" s="1">
        <v>0.0</v>
      </c>
      <c r="U137" s="2">
        <f t="shared" si="6"/>
        <v>2</v>
      </c>
    </row>
    <row r="138">
      <c r="A138" s="1" t="s">
        <v>87</v>
      </c>
      <c r="B138" s="1">
        <v>11890.78125</v>
      </c>
      <c r="C138" s="1">
        <f t="shared" si="1"/>
        <v>12</v>
      </c>
      <c r="D138" s="1">
        <f t="shared" si="2"/>
        <v>11890781.25</v>
      </c>
      <c r="E138" s="1">
        <v>13.70800018</v>
      </c>
      <c r="F138" s="1">
        <f t="shared" si="3"/>
        <v>1629988.315</v>
      </c>
      <c r="G138" s="1">
        <f t="shared" si="4"/>
        <v>86.29199982</v>
      </c>
      <c r="H138" s="1">
        <v>62.20712225</v>
      </c>
      <c r="I138" s="1">
        <f t="shared" si="17"/>
        <v>63</v>
      </c>
      <c r="J138" s="1">
        <v>19.43969314</v>
      </c>
      <c r="K138" s="1">
        <v>14.75825969</v>
      </c>
      <c r="L138" s="1">
        <v>3.594924913</v>
      </c>
      <c r="M138" s="1">
        <v>57.68576527</v>
      </c>
      <c r="N138" s="1">
        <v>21.25148213</v>
      </c>
      <c r="O138" s="1">
        <v>16.89675238</v>
      </c>
      <c r="P138" s="1">
        <v>4.166000219</v>
      </c>
      <c r="Q138" s="1">
        <v>90.66911086</v>
      </c>
      <c r="R138" s="1">
        <v>8.034462869</v>
      </c>
      <c r="S138" s="1">
        <v>1.296426269</v>
      </c>
      <c r="T138" s="1">
        <v>0.0</v>
      </c>
      <c r="U138" s="2">
        <f t="shared" si="6"/>
        <v>1</v>
      </c>
    </row>
    <row r="139">
      <c r="A139" s="1" t="s">
        <v>49</v>
      </c>
      <c r="B139" s="1">
        <v>12123.19824</v>
      </c>
      <c r="C139" s="1">
        <f t="shared" si="1"/>
        <v>13</v>
      </c>
      <c r="D139" s="1">
        <f t="shared" si="2"/>
        <v>12123198.24</v>
      </c>
      <c r="E139" s="1">
        <v>48.4149971</v>
      </c>
      <c r="F139" s="1">
        <f t="shared" si="3"/>
        <v>5869446.076</v>
      </c>
      <c r="G139" s="1">
        <f t="shared" si="4"/>
        <v>51.5850029</v>
      </c>
      <c r="H139" s="1">
        <v>65.41412299</v>
      </c>
      <c r="I139" s="1">
        <f t="shared" si="17"/>
        <v>66</v>
      </c>
      <c r="J139" s="1">
        <v>9.317535586</v>
      </c>
      <c r="K139" s="1">
        <v>21.97254088</v>
      </c>
      <c r="L139" s="1">
        <v>3.295800547</v>
      </c>
      <c r="M139" s="1">
        <v>58.05226799</v>
      </c>
      <c r="N139" s="1">
        <v>12.70520504</v>
      </c>
      <c r="O139" s="1">
        <v>23.97796833</v>
      </c>
      <c r="P139" s="1">
        <v>5.264558634</v>
      </c>
      <c r="Q139" s="1">
        <v>73.25800004</v>
      </c>
      <c r="R139" s="1">
        <v>5.708056353</v>
      </c>
      <c r="S139" s="1">
        <v>19.83580681</v>
      </c>
      <c r="T139" s="1">
        <v>1.198136794</v>
      </c>
      <c r="U139" s="2">
        <f t="shared" si="6"/>
        <v>2</v>
      </c>
    </row>
    <row r="140">
      <c r="A140" s="1" t="s">
        <v>87</v>
      </c>
      <c r="B140" s="1">
        <v>12952.20898</v>
      </c>
      <c r="C140" s="1">
        <f t="shared" si="1"/>
        <v>13</v>
      </c>
      <c r="D140" s="1">
        <f t="shared" si="2"/>
        <v>12952208.98</v>
      </c>
      <c r="E140" s="1">
        <v>17.43200111</v>
      </c>
      <c r="F140" s="1">
        <f t="shared" si="3"/>
        <v>2257829.213</v>
      </c>
      <c r="G140" s="1">
        <f t="shared" si="4"/>
        <v>82.56799889</v>
      </c>
      <c r="H140" s="1">
        <v>60.41450115</v>
      </c>
      <c r="I140" s="1">
        <f t="shared" si="17"/>
        <v>61</v>
      </c>
      <c r="J140" s="1">
        <v>22.3207193</v>
      </c>
      <c r="K140" s="1">
        <v>13.15480415</v>
      </c>
      <c r="L140" s="1">
        <v>4.109975401</v>
      </c>
      <c r="M140" s="1">
        <v>55.64246823</v>
      </c>
      <c r="N140" s="1">
        <v>25.08014133</v>
      </c>
      <c r="O140" s="1">
        <v>14.77886772</v>
      </c>
      <c r="P140" s="1">
        <v>4.498522714</v>
      </c>
      <c r="Q140" s="1">
        <v>83.0175993</v>
      </c>
      <c r="R140" s="1">
        <v>9.250506251</v>
      </c>
      <c r="S140" s="1">
        <v>5.462303057</v>
      </c>
      <c r="T140" s="1">
        <v>2.269591394</v>
      </c>
      <c r="U140" s="2">
        <f t="shared" si="6"/>
        <v>1</v>
      </c>
    </row>
    <row r="141">
      <c r="A141" s="1" t="s">
        <v>87</v>
      </c>
      <c r="B141" s="1">
        <v>13132.79199</v>
      </c>
      <c r="C141" s="1">
        <f t="shared" si="1"/>
        <v>14</v>
      </c>
      <c r="D141" s="1">
        <f t="shared" si="2"/>
        <v>13132791.99</v>
      </c>
      <c r="E141" s="1">
        <v>36.875</v>
      </c>
      <c r="F141" s="1">
        <f t="shared" si="3"/>
        <v>4842717.046</v>
      </c>
      <c r="G141" s="1">
        <f t="shared" si="4"/>
        <v>63.125</v>
      </c>
      <c r="H141" s="1">
        <v>63.96178874</v>
      </c>
      <c r="I141" s="1">
        <f t="shared" si="17"/>
        <v>64</v>
      </c>
      <c r="J141" s="1">
        <v>21.2815915</v>
      </c>
      <c r="K141" s="1">
        <v>6.296119406</v>
      </c>
      <c r="L141" s="1">
        <v>8.460500354</v>
      </c>
      <c r="M141" s="1">
        <v>50.74817899</v>
      </c>
      <c r="N141" s="1">
        <v>26.14432944</v>
      </c>
      <c r="O141" s="1">
        <v>9.704719143</v>
      </c>
      <c r="P141" s="1">
        <v>13.40277243</v>
      </c>
      <c r="Q141" s="1">
        <v>86.58169007</v>
      </c>
      <c r="R141" s="1">
        <v>12.95724153</v>
      </c>
      <c r="S141" s="1">
        <v>0.461068398</v>
      </c>
      <c r="T141" s="1">
        <v>0.0</v>
      </c>
      <c r="U141" s="2">
        <f t="shared" si="6"/>
        <v>1</v>
      </c>
    </row>
    <row r="142">
      <c r="A142" s="1" t="s">
        <v>49</v>
      </c>
      <c r="B142" s="1">
        <v>14862.92676</v>
      </c>
      <c r="C142" s="1">
        <f t="shared" si="1"/>
        <v>15</v>
      </c>
      <c r="D142" s="1">
        <f t="shared" si="2"/>
        <v>14862926.76</v>
      </c>
      <c r="E142" s="1">
        <v>32.24200058</v>
      </c>
      <c r="F142" s="1">
        <f t="shared" si="3"/>
        <v>4792104.932</v>
      </c>
      <c r="G142" s="1">
        <f t="shared" si="4"/>
        <v>67.75799942</v>
      </c>
      <c r="H142" s="1">
        <v>62.66645761</v>
      </c>
      <c r="I142" s="1">
        <f t="shared" si="17"/>
        <v>63</v>
      </c>
      <c r="J142" s="1">
        <v>14.1975397</v>
      </c>
      <c r="K142" s="1">
        <v>16.27785545</v>
      </c>
      <c r="L142" s="1">
        <v>6.858147242</v>
      </c>
      <c r="M142" s="1">
        <v>48.28242885</v>
      </c>
      <c r="N142" s="1">
        <v>18.59098467</v>
      </c>
      <c r="O142" s="1">
        <v>23.01364655</v>
      </c>
      <c r="P142" s="1">
        <v>10.11293992</v>
      </c>
      <c r="Q142" s="1">
        <v>92.89512895</v>
      </c>
      <c r="R142" s="1">
        <v>4.964517757</v>
      </c>
      <c r="S142" s="1">
        <v>2.122298674</v>
      </c>
      <c r="T142" s="1">
        <v>0.01805461538</v>
      </c>
      <c r="U142" s="2">
        <f t="shared" si="6"/>
        <v>2</v>
      </c>
    </row>
    <row r="143">
      <c r="A143" s="1" t="s">
        <v>87</v>
      </c>
      <c r="B143" s="1">
        <v>15893.21875</v>
      </c>
      <c r="C143" s="1">
        <f t="shared" si="1"/>
        <v>16</v>
      </c>
      <c r="D143" s="1">
        <f t="shared" si="2"/>
        <v>15893218.75</v>
      </c>
      <c r="E143" s="1">
        <v>46.14099884</v>
      </c>
      <c r="F143" s="1">
        <f t="shared" si="3"/>
        <v>7333289.879</v>
      </c>
      <c r="G143" s="1">
        <f t="shared" si="4"/>
        <v>53.85900116</v>
      </c>
      <c r="H143" s="1">
        <v>56.47697339</v>
      </c>
      <c r="I143" s="1">
        <f t="shared" si="17"/>
        <v>57</v>
      </c>
      <c r="J143" s="1">
        <v>27.70419956</v>
      </c>
      <c r="K143" s="1">
        <v>13.41704303</v>
      </c>
      <c r="L143" s="1">
        <v>2.401784021</v>
      </c>
      <c r="M143" s="1">
        <v>37.07586282</v>
      </c>
      <c r="N143" s="1">
        <v>36.64324958</v>
      </c>
      <c r="O143" s="1">
        <v>21.82149546</v>
      </c>
      <c r="P143" s="1">
        <v>4.459392143</v>
      </c>
      <c r="Q143" s="1">
        <v>79.12330574</v>
      </c>
      <c r="R143" s="1">
        <v>17.26991556</v>
      </c>
      <c r="S143" s="1">
        <v>3.606778703</v>
      </c>
      <c r="T143" s="1">
        <v>0.0</v>
      </c>
      <c r="U143" s="2">
        <f t="shared" si="6"/>
        <v>1</v>
      </c>
    </row>
    <row r="144">
      <c r="A144" s="1" t="s">
        <v>87</v>
      </c>
      <c r="B144" s="1">
        <v>16425.85938</v>
      </c>
      <c r="C144" s="1">
        <f t="shared" si="1"/>
        <v>17</v>
      </c>
      <c r="D144" s="1">
        <f t="shared" si="2"/>
        <v>16425859.38</v>
      </c>
      <c r="E144" s="1">
        <v>23.52000046</v>
      </c>
      <c r="F144" s="1">
        <f t="shared" si="3"/>
        <v>3863362.202</v>
      </c>
      <c r="G144" s="1">
        <f t="shared" si="4"/>
        <v>76.47999954</v>
      </c>
      <c r="H144" s="1">
        <v>46.18753479</v>
      </c>
      <c r="I144" s="1">
        <f t="shared" si="17"/>
        <v>47</v>
      </c>
      <c r="J144" s="1">
        <v>14.74028929</v>
      </c>
      <c r="K144" s="1">
        <v>31.56245714</v>
      </c>
      <c r="L144" s="1">
        <v>7.509718784</v>
      </c>
      <c r="M144" s="1">
        <v>37.57521525</v>
      </c>
      <c r="N144" s="1">
        <v>14.35396111</v>
      </c>
      <c r="O144" s="1">
        <v>38.52496761</v>
      </c>
      <c r="P144" s="1">
        <v>9.545856027</v>
      </c>
      <c r="Q144" s="1">
        <v>74.19222309</v>
      </c>
      <c r="R144" s="1">
        <v>15.99651381</v>
      </c>
      <c r="S144" s="1">
        <v>8.922452721</v>
      </c>
      <c r="T144" s="1">
        <v>0.8888103843</v>
      </c>
      <c r="U144" s="2">
        <f t="shared" si="6"/>
        <v>1</v>
      </c>
    </row>
    <row r="145">
      <c r="A145" s="1" t="s">
        <v>49</v>
      </c>
      <c r="B145" s="1">
        <v>16718.9707</v>
      </c>
      <c r="C145" s="1">
        <f t="shared" si="1"/>
        <v>17</v>
      </c>
      <c r="D145" s="1">
        <f t="shared" si="2"/>
        <v>16718970.7</v>
      </c>
      <c r="E145" s="1">
        <v>24.23200035</v>
      </c>
      <c r="F145" s="1">
        <f t="shared" si="3"/>
        <v>4051341.039</v>
      </c>
      <c r="G145" s="1">
        <f t="shared" si="4"/>
        <v>75.76799965</v>
      </c>
      <c r="H145" s="1">
        <v>71.21988497</v>
      </c>
      <c r="I145" s="1">
        <f t="shared" si="17"/>
        <v>72</v>
      </c>
      <c r="J145" s="1">
        <v>13.90222204</v>
      </c>
      <c r="K145" s="1">
        <v>5.677218558</v>
      </c>
      <c r="L145" s="1">
        <v>9.200674434</v>
      </c>
      <c r="M145" s="1">
        <v>65.06715583</v>
      </c>
      <c r="N145" s="1">
        <v>15.51772278</v>
      </c>
      <c r="O145" s="1">
        <v>7.492899307</v>
      </c>
      <c r="P145" s="1">
        <v>11.92222209</v>
      </c>
      <c r="Q145" s="1">
        <v>90.45807717</v>
      </c>
      <c r="R145" s="1">
        <v>8.85091472</v>
      </c>
      <c r="S145" s="1">
        <v>0.0</v>
      </c>
      <c r="T145" s="1">
        <v>0.6910081144</v>
      </c>
      <c r="U145" s="2">
        <f t="shared" si="6"/>
        <v>2</v>
      </c>
    </row>
    <row r="146">
      <c r="A146" s="1" t="s">
        <v>49</v>
      </c>
      <c r="B146" s="1">
        <v>16743.92969</v>
      </c>
      <c r="C146" s="1">
        <f t="shared" si="1"/>
        <v>17</v>
      </c>
      <c r="D146" s="1">
        <f t="shared" si="2"/>
        <v>16743929.69</v>
      </c>
      <c r="E146" s="1">
        <v>48.12200165</v>
      </c>
      <c r="F146" s="1">
        <f t="shared" si="3"/>
        <v>8057514.122</v>
      </c>
      <c r="G146" s="1">
        <f t="shared" si="4"/>
        <v>51.87799835</v>
      </c>
      <c r="H146" s="1">
        <v>84.90523779</v>
      </c>
      <c r="I146" s="1">
        <f t="shared" si="17"/>
        <v>85</v>
      </c>
      <c r="J146" s="1">
        <v>2.387217509</v>
      </c>
      <c r="K146" s="1">
        <v>12.60781566</v>
      </c>
      <c r="L146" s="1">
        <v>0.09972904042</v>
      </c>
      <c r="M146" s="1">
        <v>75.2429282</v>
      </c>
      <c r="N146" s="1">
        <v>4.052382433</v>
      </c>
      <c r="O146" s="1">
        <v>20.51245174</v>
      </c>
      <c r="P146" s="1">
        <v>0.1922376314</v>
      </c>
      <c r="Q146" s="1">
        <v>95.32170094</v>
      </c>
      <c r="R146" s="1">
        <v>0.5920836567</v>
      </c>
      <c r="S146" s="1">
        <v>4.086215402</v>
      </c>
      <c r="T146" s="1">
        <v>0.0</v>
      </c>
      <c r="U146" s="2">
        <f t="shared" si="6"/>
        <v>2</v>
      </c>
    </row>
    <row r="147">
      <c r="A147" s="1" t="s">
        <v>26</v>
      </c>
      <c r="B147" s="1">
        <v>17134.87305</v>
      </c>
      <c r="C147" s="1">
        <f t="shared" si="1"/>
        <v>18</v>
      </c>
      <c r="D147" s="1">
        <f t="shared" si="2"/>
        <v>17134873.05</v>
      </c>
      <c r="E147" s="1">
        <v>92.23600006</v>
      </c>
      <c r="F147" s="1">
        <f t="shared" si="3"/>
        <v>15804521.52</v>
      </c>
      <c r="G147" s="1">
        <f t="shared" si="4"/>
        <v>7.76399994</v>
      </c>
      <c r="H147" s="1">
        <v>99.99999929</v>
      </c>
      <c r="I147" s="1">
        <f t="shared" si="17"/>
        <v>100</v>
      </c>
      <c r="J147" s="1">
        <v>0.0</v>
      </c>
      <c r="K147" s="1">
        <v>7.12408621E-7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  <c r="Q147" s="1">
        <v>100.0</v>
      </c>
      <c r="R147" s="1">
        <v>0.0</v>
      </c>
      <c r="S147" s="1">
        <v>0.0</v>
      </c>
      <c r="T147" s="1">
        <v>0.0</v>
      </c>
      <c r="U147" s="2">
        <f t="shared" si="6"/>
        <v>4</v>
      </c>
    </row>
    <row r="148">
      <c r="A148" s="1" t="s">
        <v>87</v>
      </c>
      <c r="B148" s="1">
        <v>17500.65625</v>
      </c>
      <c r="C148" s="1">
        <f t="shared" si="1"/>
        <v>18</v>
      </c>
      <c r="D148" s="1">
        <f t="shared" si="2"/>
        <v>17500656.25</v>
      </c>
      <c r="E148" s="1">
        <v>55.47500229</v>
      </c>
      <c r="F148" s="1">
        <f t="shared" si="3"/>
        <v>9708489.455</v>
      </c>
      <c r="G148" s="1">
        <f t="shared" si="4"/>
        <v>44.52499771</v>
      </c>
      <c r="H148" s="1">
        <v>93.92585718</v>
      </c>
      <c r="I148" s="1">
        <f t="shared" si="17"/>
        <v>94</v>
      </c>
      <c r="J148" s="1">
        <v>5.873730768</v>
      </c>
      <c r="K148" s="1">
        <v>0.2004120542</v>
      </c>
      <c r="L148" s="1">
        <v>0.0</v>
      </c>
      <c r="M148" s="1">
        <v>92.082745</v>
      </c>
      <c r="N148" s="1">
        <v>7.917255</v>
      </c>
      <c r="O148" s="1">
        <v>0.0</v>
      </c>
      <c r="P148" s="1">
        <v>0.0</v>
      </c>
      <c r="Q148" s="1">
        <v>95.40516436</v>
      </c>
      <c r="R148" s="1">
        <v>4.233570117</v>
      </c>
      <c r="S148" s="1">
        <v>0.361265525</v>
      </c>
      <c r="T148" s="1">
        <v>0.0</v>
      </c>
      <c r="U148" s="2">
        <f t="shared" si="6"/>
        <v>1</v>
      </c>
    </row>
    <row r="149">
      <c r="A149" s="1" t="s">
        <v>29</v>
      </c>
      <c r="B149" s="1">
        <v>17643.06055</v>
      </c>
      <c r="C149" s="1">
        <f t="shared" si="1"/>
        <v>18</v>
      </c>
      <c r="D149" s="1">
        <f t="shared" si="2"/>
        <v>17643060.55</v>
      </c>
      <c r="E149" s="1">
        <v>64.16600037</v>
      </c>
      <c r="F149" s="1">
        <f t="shared" si="3"/>
        <v>11320846.3</v>
      </c>
      <c r="G149" s="1">
        <f t="shared" si="4"/>
        <v>35.83399963</v>
      </c>
      <c r="H149" s="1">
        <v>95.35976356</v>
      </c>
      <c r="I149" s="1">
        <f t="shared" si="17"/>
        <v>96</v>
      </c>
      <c r="J149" s="1">
        <v>0.003451463449</v>
      </c>
      <c r="K149" s="1">
        <v>2.604485389</v>
      </c>
      <c r="L149" s="1">
        <v>2.032299589</v>
      </c>
      <c r="M149" s="1">
        <v>87.05074495</v>
      </c>
      <c r="N149" s="1">
        <v>0.009631811022</v>
      </c>
      <c r="O149" s="1">
        <v>7.26819549</v>
      </c>
      <c r="P149" s="1">
        <v>5.671427747</v>
      </c>
      <c r="Q149" s="1">
        <v>100.0</v>
      </c>
      <c r="R149" s="1">
        <v>0.0</v>
      </c>
      <c r="S149" s="1">
        <v>0.0</v>
      </c>
      <c r="T149" s="1">
        <v>0.0</v>
      </c>
      <c r="U149" s="2">
        <f t="shared" si="6"/>
        <v>3</v>
      </c>
    </row>
    <row r="150">
      <c r="A150" s="1" t="s">
        <v>29</v>
      </c>
      <c r="B150" s="1">
        <v>17915.56641</v>
      </c>
      <c r="C150" s="1">
        <f t="shared" si="1"/>
        <v>18</v>
      </c>
      <c r="D150" s="1">
        <f t="shared" si="2"/>
        <v>17915566.41</v>
      </c>
      <c r="E150" s="1">
        <v>51.83599854</v>
      </c>
      <c r="F150" s="1">
        <f t="shared" si="3"/>
        <v>9286712.743</v>
      </c>
      <c r="G150" s="1">
        <f t="shared" si="4"/>
        <v>48.16400146</v>
      </c>
      <c r="H150" s="1">
        <v>94.00642827</v>
      </c>
      <c r="I150" s="1">
        <f t="shared" si="17"/>
        <v>95</v>
      </c>
      <c r="J150" s="1">
        <v>1.034150511</v>
      </c>
      <c r="K150" s="1">
        <v>3.215911815</v>
      </c>
      <c r="L150" s="1">
        <v>1.743509404</v>
      </c>
      <c r="M150" s="1">
        <v>90.1193298</v>
      </c>
      <c r="N150" s="1">
        <v>1.849169999</v>
      </c>
      <c r="O150" s="1">
        <v>4.583438691</v>
      </c>
      <c r="P150" s="1">
        <v>3.448061508</v>
      </c>
      <c r="Q150" s="1">
        <v>97.61816944</v>
      </c>
      <c r="R150" s="1">
        <v>0.2768660057</v>
      </c>
      <c r="S150" s="1">
        <v>1.94525887</v>
      </c>
      <c r="T150" s="1">
        <v>0.1597056849</v>
      </c>
      <c r="U150" s="2">
        <f t="shared" si="6"/>
        <v>3</v>
      </c>
    </row>
    <row r="151">
      <c r="A151" s="1" t="s">
        <v>87</v>
      </c>
      <c r="B151" s="1">
        <v>18383.95508</v>
      </c>
      <c r="C151" s="1">
        <f t="shared" si="1"/>
        <v>19</v>
      </c>
      <c r="D151" s="1">
        <f t="shared" si="2"/>
        <v>18383955.08</v>
      </c>
      <c r="E151" s="1">
        <v>44.6289978</v>
      </c>
      <c r="F151" s="1">
        <f t="shared" si="3"/>
        <v>8204574.908</v>
      </c>
      <c r="G151" s="1">
        <f t="shared" si="4"/>
        <v>55.3710022</v>
      </c>
      <c r="H151" s="1">
        <v>65.41238357</v>
      </c>
      <c r="I151" s="1">
        <f t="shared" si="17"/>
        <v>66</v>
      </c>
      <c r="J151" s="1">
        <v>6.15393902</v>
      </c>
      <c r="K151" s="1">
        <v>21.57684071</v>
      </c>
      <c r="L151" s="1">
        <v>6.856836706</v>
      </c>
      <c r="M151" s="1">
        <v>48.22728833</v>
      </c>
      <c r="N151" s="1">
        <v>8.331703613</v>
      </c>
      <c r="O151" s="1">
        <v>31.60865444</v>
      </c>
      <c r="P151" s="1">
        <v>11.83235362</v>
      </c>
      <c r="Q151" s="1">
        <v>86.73385466</v>
      </c>
      <c r="R151" s="1">
        <v>3.451996194</v>
      </c>
      <c r="S151" s="1">
        <v>9.130414105</v>
      </c>
      <c r="T151" s="1">
        <v>0.6837350463</v>
      </c>
      <c r="U151" s="2">
        <f t="shared" si="6"/>
        <v>1</v>
      </c>
    </row>
    <row r="152">
      <c r="A152" s="1" t="s">
        <v>29</v>
      </c>
      <c r="B152" s="1">
        <v>18776.70703</v>
      </c>
      <c r="C152" s="1">
        <f t="shared" si="1"/>
        <v>19</v>
      </c>
      <c r="D152" s="1">
        <f t="shared" si="2"/>
        <v>18776707.03</v>
      </c>
      <c r="E152" s="1">
        <v>57.67100143</v>
      </c>
      <c r="F152" s="1">
        <f t="shared" si="3"/>
        <v>10828714.98</v>
      </c>
      <c r="G152" s="1">
        <f t="shared" si="4"/>
        <v>42.32899857</v>
      </c>
      <c r="H152" s="1">
        <v>95.43497032</v>
      </c>
      <c r="I152" s="1">
        <f t="shared" si="17"/>
        <v>96</v>
      </c>
      <c r="J152" s="1">
        <v>1.941425039</v>
      </c>
      <c r="K152" s="1">
        <v>2.545956934</v>
      </c>
      <c r="L152" s="1">
        <v>0.07764770471</v>
      </c>
      <c r="M152" s="1">
        <v>91.93925234</v>
      </c>
      <c r="N152" s="1">
        <v>1.862616064</v>
      </c>
      <c r="O152" s="1">
        <v>6.014693049</v>
      </c>
      <c r="P152" s="1">
        <v>0.1834385438</v>
      </c>
      <c r="Q152" s="1">
        <v>98.00073133</v>
      </c>
      <c r="R152" s="1">
        <v>1.999268673</v>
      </c>
      <c r="S152" s="1">
        <v>0.0</v>
      </c>
      <c r="T152" s="1">
        <v>0.0</v>
      </c>
      <c r="U152" s="2">
        <f t="shared" si="6"/>
        <v>3</v>
      </c>
    </row>
    <row r="153">
      <c r="A153" s="1" t="s">
        <v>26</v>
      </c>
      <c r="B153" s="1">
        <v>19116.20898</v>
      </c>
      <c r="C153" s="1">
        <f t="shared" si="1"/>
        <v>20</v>
      </c>
      <c r="D153" s="1">
        <f t="shared" si="2"/>
        <v>19116208.98</v>
      </c>
      <c r="E153" s="1">
        <v>87.72699738</v>
      </c>
      <c r="F153" s="1">
        <f t="shared" si="3"/>
        <v>16770076.15</v>
      </c>
      <c r="G153" s="1">
        <f t="shared" si="4"/>
        <v>12.27300262</v>
      </c>
      <c r="H153" s="1">
        <v>99.99999872</v>
      </c>
      <c r="I153" s="1">
        <f t="shared" si="17"/>
        <v>100</v>
      </c>
      <c r="J153" s="1">
        <v>0.0</v>
      </c>
      <c r="K153" s="1">
        <v>1.277139333E-6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  <c r="Q153" s="1">
        <v>100.0</v>
      </c>
      <c r="R153" s="1">
        <v>0.0</v>
      </c>
      <c r="S153" s="1">
        <v>0.0</v>
      </c>
      <c r="T153" s="1">
        <v>0.0</v>
      </c>
      <c r="U153" s="2">
        <f t="shared" si="6"/>
        <v>4</v>
      </c>
    </row>
    <row r="154">
      <c r="A154" s="1" t="s">
        <v>87</v>
      </c>
      <c r="B154" s="1">
        <v>19129.95508</v>
      </c>
      <c r="C154" s="1">
        <f t="shared" si="1"/>
        <v>20</v>
      </c>
      <c r="D154" s="1">
        <f t="shared" si="2"/>
        <v>19129955.08</v>
      </c>
      <c r="E154" s="1">
        <v>17.42700005</v>
      </c>
      <c r="F154" s="1">
        <f t="shared" si="3"/>
        <v>3333777.281</v>
      </c>
      <c r="G154" s="1">
        <f t="shared" si="4"/>
        <v>82.57299995</v>
      </c>
      <c r="H154" s="1">
        <v>70.04772851</v>
      </c>
      <c r="I154" s="1">
        <f t="shared" si="17"/>
        <v>71</v>
      </c>
      <c r="J154" s="1">
        <v>21.95081497</v>
      </c>
      <c r="K154" s="1">
        <v>5.776304407</v>
      </c>
      <c r="L154" s="1">
        <v>2.22515211</v>
      </c>
      <c r="M154" s="1">
        <v>66.58504376</v>
      </c>
      <c r="N154" s="1">
        <v>24.41415803</v>
      </c>
      <c r="O154" s="1">
        <v>6.383874146</v>
      </c>
      <c r="P154" s="1">
        <v>2.616924066</v>
      </c>
      <c r="Q154" s="1">
        <v>86.45469821</v>
      </c>
      <c r="R154" s="1">
        <v>10.27894825</v>
      </c>
      <c r="S154" s="1">
        <v>2.897503996</v>
      </c>
      <c r="T154" s="1">
        <v>0.3688495446</v>
      </c>
      <c r="U154" s="2">
        <f t="shared" si="6"/>
        <v>1</v>
      </c>
    </row>
    <row r="155">
      <c r="A155" s="1" t="s">
        <v>26</v>
      </c>
      <c r="B155" s="1">
        <v>19237.68164</v>
      </c>
      <c r="C155" s="1">
        <f t="shared" si="1"/>
        <v>20</v>
      </c>
      <c r="D155" s="1">
        <f t="shared" si="2"/>
        <v>19237681.64</v>
      </c>
      <c r="E155" s="1">
        <v>54.19400024</v>
      </c>
      <c r="F155" s="1">
        <f t="shared" si="3"/>
        <v>10425669.23</v>
      </c>
      <c r="G155" s="1">
        <f t="shared" si="4"/>
        <v>45.80599976</v>
      </c>
      <c r="H155" s="1">
        <v>100.0</v>
      </c>
      <c r="I155" s="1">
        <f t="shared" si="17"/>
        <v>100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  <c r="Q155" s="1">
        <v>100.0</v>
      </c>
      <c r="R155" s="1">
        <v>0.0</v>
      </c>
      <c r="S155" s="1">
        <v>0.0</v>
      </c>
      <c r="T155" s="1">
        <v>0.0</v>
      </c>
      <c r="U155" s="2">
        <f t="shared" si="6"/>
        <v>4</v>
      </c>
    </row>
    <row r="156">
      <c r="A156" s="1" t="s">
        <v>87</v>
      </c>
      <c r="B156" s="1">
        <v>20250.83398</v>
      </c>
      <c r="C156" s="1">
        <f t="shared" si="1"/>
        <v>21</v>
      </c>
      <c r="D156" s="1">
        <f t="shared" si="2"/>
        <v>20250833.98</v>
      </c>
      <c r="E156" s="1">
        <v>43.90900421</v>
      </c>
      <c r="F156" s="1">
        <f t="shared" si="3"/>
        <v>8891939.545</v>
      </c>
      <c r="G156" s="1">
        <f t="shared" si="4"/>
        <v>56.09099579</v>
      </c>
      <c r="H156" s="1">
        <v>82.54729103</v>
      </c>
      <c r="I156" s="1">
        <f t="shared" si="17"/>
        <v>83</v>
      </c>
      <c r="J156" s="1">
        <v>3.854734527</v>
      </c>
      <c r="K156" s="1">
        <v>12.24697135</v>
      </c>
      <c r="L156" s="1">
        <v>1.35100309</v>
      </c>
      <c r="M156" s="1">
        <v>72.08089521</v>
      </c>
      <c r="N156" s="1">
        <v>3.78241223</v>
      </c>
      <c r="O156" s="1">
        <v>21.72810084</v>
      </c>
      <c r="P156" s="1">
        <v>2.408591717</v>
      </c>
      <c r="Q156" s="1">
        <v>95.91745475</v>
      </c>
      <c r="R156" s="1">
        <v>3.947121723</v>
      </c>
      <c r="S156" s="1">
        <v>0.1354235314</v>
      </c>
      <c r="T156" s="1">
        <v>0.0</v>
      </c>
      <c r="U156" s="2">
        <f t="shared" si="6"/>
        <v>1</v>
      </c>
    </row>
    <row r="157">
      <c r="A157" s="1" t="s">
        <v>87</v>
      </c>
      <c r="B157" s="1">
        <v>20903.27734</v>
      </c>
      <c r="C157" s="1">
        <f t="shared" si="1"/>
        <v>21</v>
      </c>
      <c r="D157" s="1">
        <f t="shared" si="2"/>
        <v>20903277.34</v>
      </c>
      <c r="E157" s="1">
        <v>30.60700035</v>
      </c>
      <c r="F157" s="1">
        <f t="shared" si="3"/>
        <v>6397866.169</v>
      </c>
      <c r="G157" s="1">
        <f t="shared" si="4"/>
        <v>69.39299965</v>
      </c>
      <c r="H157" s="1">
        <v>47.21485446</v>
      </c>
      <c r="I157" s="1">
        <f t="shared" si="17"/>
        <v>48</v>
      </c>
      <c r="J157" s="1">
        <v>31.2730034</v>
      </c>
      <c r="K157" s="1">
        <v>21.15863263</v>
      </c>
      <c r="L157" s="1">
        <v>0.3535095024</v>
      </c>
      <c r="M157" s="1">
        <v>32.7182589</v>
      </c>
      <c r="N157" s="1">
        <v>38.62690254</v>
      </c>
      <c r="O157" s="1">
        <v>28.3404457</v>
      </c>
      <c r="P157" s="1">
        <v>0.3143928626</v>
      </c>
      <c r="Q157" s="1">
        <v>80.08191854</v>
      </c>
      <c r="R157" s="1">
        <v>14.60004919</v>
      </c>
      <c r="S157" s="1">
        <v>4.875836487</v>
      </c>
      <c r="T157" s="1">
        <v>0.4421957805</v>
      </c>
      <c r="U157" s="2">
        <f t="shared" si="6"/>
        <v>1</v>
      </c>
    </row>
    <row r="158">
      <c r="A158" s="1" t="s">
        <v>49</v>
      </c>
      <c r="B158" s="1">
        <v>21413.25</v>
      </c>
      <c r="C158" s="1">
        <f t="shared" si="1"/>
        <v>22</v>
      </c>
      <c r="D158" s="1">
        <f t="shared" si="2"/>
        <v>21413250</v>
      </c>
      <c r="E158" s="1">
        <v>18.71299934</v>
      </c>
      <c r="F158" s="1">
        <f t="shared" si="3"/>
        <v>4007061.331</v>
      </c>
      <c r="G158" s="1">
        <f t="shared" si="4"/>
        <v>81.28700066</v>
      </c>
      <c r="H158" s="1">
        <v>92.22757937</v>
      </c>
      <c r="I158" s="1">
        <f t="shared" si="17"/>
        <v>93</v>
      </c>
      <c r="J158" s="1">
        <v>0.5954581495</v>
      </c>
      <c r="K158" s="1">
        <v>5.348927064</v>
      </c>
      <c r="L158" s="1">
        <v>1.82803542</v>
      </c>
      <c r="M158" s="1">
        <v>90.5374357</v>
      </c>
      <c r="N158" s="1">
        <v>0.7032099038</v>
      </c>
      <c r="O158" s="1">
        <v>6.510488612</v>
      </c>
      <c r="P158" s="1">
        <v>2.248865782</v>
      </c>
      <c r="Q158" s="1">
        <v>99.56938019</v>
      </c>
      <c r="R158" s="1">
        <v>0.1273977901</v>
      </c>
      <c r="S158" s="1">
        <v>0.3032220202</v>
      </c>
      <c r="T158" s="1">
        <v>0.0</v>
      </c>
      <c r="U158" s="2">
        <f t="shared" si="6"/>
        <v>2</v>
      </c>
    </row>
    <row r="159">
      <c r="A159" s="1" t="s">
        <v>87</v>
      </c>
      <c r="B159" s="1">
        <v>24206.63672</v>
      </c>
      <c r="C159" s="1">
        <f t="shared" si="1"/>
        <v>25</v>
      </c>
      <c r="D159" s="1">
        <f t="shared" si="2"/>
        <v>24206636.72</v>
      </c>
      <c r="E159" s="1">
        <v>16.62599945</v>
      </c>
      <c r="F159" s="1">
        <f t="shared" si="3"/>
        <v>4024595.288</v>
      </c>
      <c r="G159" s="1">
        <f t="shared" si="4"/>
        <v>83.37400055</v>
      </c>
      <c r="H159" s="1">
        <v>46.91179747</v>
      </c>
      <c r="I159" s="1">
        <f t="shared" si="17"/>
        <v>47</v>
      </c>
      <c r="J159" s="1">
        <v>21.6538987</v>
      </c>
      <c r="K159" s="1">
        <v>27.02751244</v>
      </c>
      <c r="L159" s="1">
        <v>4.406791392</v>
      </c>
      <c r="M159" s="1">
        <v>39.15415932</v>
      </c>
      <c r="N159" s="1">
        <v>23.98774039</v>
      </c>
      <c r="O159" s="1">
        <v>31.99150648</v>
      </c>
      <c r="P159" s="1">
        <v>4.866593813</v>
      </c>
      <c r="Q159" s="1">
        <v>85.81383976</v>
      </c>
      <c r="R159" s="1">
        <v>9.950440829</v>
      </c>
      <c r="S159" s="1">
        <v>2.13468778</v>
      </c>
      <c r="T159" s="1">
        <v>2.101031634</v>
      </c>
      <c r="U159" s="2">
        <f t="shared" si="6"/>
        <v>1</v>
      </c>
    </row>
    <row r="160">
      <c r="A160" s="1" t="s">
        <v>26</v>
      </c>
      <c r="B160" s="1">
        <v>25499.88086</v>
      </c>
      <c r="C160" s="1">
        <f t="shared" si="1"/>
        <v>26</v>
      </c>
      <c r="D160" s="1">
        <f t="shared" si="2"/>
        <v>25499880.86</v>
      </c>
      <c r="E160" s="1">
        <v>86.24099731</v>
      </c>
      <c r="F160" s="1">
        <f t="shared" si="3"/>
        <v>21991351.57</v>
      </c>
      <c r="G160" s="1">
        <f t="shared" si="4"/>
        <v>13.75900269</v>
      </c>
      <c r="H160" s="1">
        <v>99.96981182</v>
      </c>
      <c r="I160" s="1">
        <f t="shared" si="17"/>
        <v>100</v>
      </c>
      <c r="J160" s="1">
        <v>0.0</v>
      </c>
      <c r="K160" s="1">
        <v>0.03018817873</v>
      </c>
      <c r="L160" s="1">
        <v>0.0</v>
      </c>
      <c r="M160" s="1">
        <v>100.0</v>
      </c>
      <c r="N160" s="1">
        <v>0.0</v>
      </c>
      <c r="O160" s="1">
        <v>0.0</v>
      </c>
      <c r="P160" s="1">
        <v>0.0</v>
      </c>
      <c r="Q160" s="1">
        <v>99.965</v>
      </c>
      <c r="R160" s="1">
        <v>0.0</v>
      </c>
      <c r="S160" s="1">
        <v>0.035</v>
      </c>
      <c r="T160" s="1">
        <v>0.0</v>
      </c>
      <c r="U160" s="2">
        <f t="shared" si="6"/>
        <v>4</v>
      </c>
    </row>
    <row r="161">
      <c r="A161" s="1" t="s">
        <v>87</v>
      </c>
      <c r="B161" s="1">
        <v>25778.81445</v>
      </c>
      <c r="C161" s="1">
        <f t="shared" si="1"/>
        <v>26</v>
      </c>
      <c r="D161" s="1">
        <f t="shared" si="2"/>
        <v>25778814.45</v>
      </c>
      <c r="E161" s="1">
        <v>62.38100052</v>
      </c>
      <c r="F161" s="1">
        <f t="shared" si="3"/>
        <v>16081082.38</v>
      </c>
      <c r="G161" s="1">
        <f t="shared" si="4"/>
        <v>37.61899948</v>
      </c>
      <c r="H161" s="1">
        <v>93.84384303</v>
      </c>
      <c r="I161" s="1">
        <f t="shared" si="17"/>
        <v>94</v>
      </c>
      <c r="J161" s="1">
        <v>0.6831311872</v>
      </c>
      <c r="K161" s="1">
        <v>5.20969278</v>
      </c>
      <c r="L161" s="1">
        <v>0.2633330058</v>
      </c>
      <c r="M161" s="1">
        <v>88.75362488</v>
      </c>
      <c r="N161" s="1">
        <v>0.3564402606</v>
      </c>
      <c r="O161" s="1">
        <v>10.18993486</v>
      </c>
      <c r="P161" s="1">
        <v>0.7</v>
      </c>
      <c r="Q161" s="1">
        <v>96.91351044</v>
      </c>
      <c r="R161" s="1">
        <v>0.8801428799</v>
      </c>
      <c r="S161" s="1">
        <v>2.206346677</v>
      </c>
      <c r="T161" s="1">
        <v>0.0</v>
      </c>
      <c r="U161" s="2">
        <f t="shared" si="6"/>
        <v>1</v>
      </c>
    </row>
    <row r="162">
      <c r="A162" s="1" t="s">
        <v>49</v>
      </c>
      <c r="B162" s="1">
        <v>26378.27539</v>
      </c>
      <c r="C162" s="1">
        <f t="shared" si="1"/>
        <v>27</v>
      </c>
      <c r="D162" s="1">
        <f t="shared" si="2"/>
        <v>26378275.39</v>
      </c>
      <c r="E162" s="1">
        <v>51.70599747</v>
      </c>
      <c r="F162" s="1">
        <f t="shared" si="3"/>
        <v>13639150.41</v>
      </c>
      <c r="G162" s="1">
        <f t="shared" si="4"/>
        <v>48.29400253</v>
      </c>
      <c r="H162" s="1">
        <v>70.90907039</v>
      </c>
      <c r="I162" s="1">
        <f t="shared" si="17"/>
        <v>71</v>
      </c>
      <c r="J162" s="1">
        <v>8.935421702</v>
      </c>
      <c r="K162" s="1">
        <v>14.19244161</v>
      </c>
      <c r="L162" s="1">
        <v>5.963066293</v>
      </c>
      <c r="M162" s="1">
        <v>55.72244686</v>
      </c>
      <c r="N162" s="1">
        <v>13.34316829</v>
      </c>
      <c r="O162" s="1">
        <v>23.17527956</v>
      </c>
      <c r="P162" s="1">
        <v>7.759105289</v>
      </c>
      <c r="Q162" s="1">
        <v>85.09355329</v>
      </c>
      <c r="R162" s="1">
        <v>4.818535156</v>
      </c>
      <c r="S162" s="1">
        <v>5.80236656</v>
      </c>
      <c r="T162" s="1">
        <v>4.285544994</v>
      </c>
      <c r="U162" s="2">
        <f t="shared" si="6"/>
        <v>2</v>
      </c>
    </row>
    <row r="163">
      <c r="A163" s="1" t="s">
        <v>49</v>
      </c>
      <c r="B163" s="1">
        <v>26545.86328</v>
      </c>
      <c r="C163" s="1">
        <f t="shared" si="1"/>
        <v>27</v>
      </c>
      <c r="D163" s="1">
        <f t="shared" si="2"/>
        <v>26545863.28</v>
      </c>
      <c r="E163" s="1">
        <v>57.56000519</v>
      </c>
      <c r="F163" s="1">
        <f t="shared" si="3"/>
        <v>15279800.28</v>
      </c>
      <c r="G163" s="1">
        <f t="shared" si="4"/>
        <v>42.43999481</v>
      </c>
      <c r="H163" s="1">
        <v>65.72041818</v>
      </c>
      <c r="I163" s="1">
        <f t="shared" si="17"/>
        <v>66</v>
      </c>
      <c r="J163" s="1">
        <v>12.87474863</v>
      </c>
      <c r="K163" s="1">
        <v>15.00100626</v>
      </c>
      <c r="L163" s="1">
        <v>6.403826927</v>
      </c>
      <c r="M163" s="1">
        <v>43.52758112</v>
      </c>
      <c r="N163" s="1">
        <v>12.67259943</v>
      </c>
      <c r="O163" s="1">
        <v>30.12380645</v>
      </c>
      <c r="P163" s="1">
        <v>13.676013</v>
      </c>
      <c r="Q163" s="1">
        <v>82.08358486</v>
      </c>
      <c r="R163" s="1">
        <v>13.02379677</v>
      </c>
      <c r="S163" s="1">
        <v>3.850701351</v>
      </c>
      <c r="T163" s="1">
        <v>1.041917019</v>
      </c>
      <c r="U163" s="2">
        <f t="shared" si="6"/>
        <v>2</v>
      </c>
    </row>
    <row r="164">
      <c r="A164" s="1" t="s">
        <v>87</v>
      </c>
      <c r="B164" s="1">
        <v>27691.01953</v>
      </c>
      <c r="C164" s="1">
        <f t="shared" si="1"/>
        <v>28</v>
      </c>
      <c r="D164" s="1">
        <f t="shared" si="2"/>
        <v>27691019.53</v>
      </c>
      <c r="E164" s="1">
        <v>38.5340004</v>
      </c>
      <c r="F164" s="1">
        <f t="shared" si="3"/>
        <v>10670457.58</v>
      </c>
      <c r="G164" s="1">
        <f t="shared" si="4"/>
        <v>61.4659996</v>
      </c>
      <c r="H164" s="1">
        <v>53.38588491</v>
      </c>
      <c r="I164" s="1">
        <f t="shared" si="17"/>
        <v>54</v>
      </c>
      <c r="J164" s="1">
        <v>2.71797298</v>
      </c>
      <c r="K164" s="1">
        <v>32.31145967</v>
      </c>
      <c r="L164" s="1">
        <v>11.58468244</v>
      </c>
      <c r="M164" s="1">
        <v>36.40642028</v>
      </c>
      <c r="N164" s="1">
        <v>1.601776163</v>
      </c>
      <c r="O164" s="1">
        <v>43.95389345</v>
      </c>
      <c r="P164" s="1">
        <v>18.03791011</v>
      </c>
      <c r="Q164" s="1">
        <v>80.47000694</v>
      </c>
      <c r="R164" s="1">
        <v>4.498430298</v>
      </c>
      <c r="S164" s="1">
        <v>13.74049434</v>
      </c>
      <c r="T164" s="1">
        <v>1.291068417</v>
      </c>
      <c r="U164" s="2">
        <f t="shared" si="6"/>
        <v>1</v>
      </c>
    </row>
    <row r="165">
      <c r="A165" s="1" t="s">
        <v>18</v>
      </c>
      <c r="B165" s="1">
        <v>28435.94336</v>
      </c>
      <c r="C165" s="1">
        <f t="shared" si="1"/>
        <v>29</v>
      </c>
      <c r="D165" s="1">
        <f t="shared" si="2"/>
        <v>28435943.36</v>
      </c>
      <c r="E165" s="1">
        <v>88.27899933</v>
      </c>
      <c r="F165" s="1">
        <f t="shared" si="3"/>
        <v>25102966.25</v>
      </c>
      <c r="G165" s="1">
        <f t="shared" si="4"/>
        <v>11.72100067</v>
      </c>
      <c r="H165" s="1">
        <v>93.68580071</v>
      </c>
      <c r="I165" s="1">
        <f t="shared" si="17"/>
        <v>94</v>
      </c>
      <c r="J165" s="1">
        <v>0.4707829181</v>
      </c>
      <c r="K165" s="1">
        <v>5.843416373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18</v>
      </c>
      <c r="Q165" s="1" t="s">
        <v>18</v>
      </c>
      <c r="R165" s="1" t="s">
        <v>18</v>
      </c>
      <c r="S165" s="1" t="s">
        <v>18</v>
      </c>
      <c r="T165" s="1" t="s">
        <v>18</v>
      </c>
      <c r="U165" s="2">
        <f t="shared" si="6"/>
        <v>0</v>
      </c>
    </row>
    <row r="166">
      <c r="A166" s="1" t="s">
        <v>49</v>
      </c>
      <c r="B166" s="1">
        <v>29136.80859</v>
      </c>
      <c r="C166" s="1">
        <f t="shared" si="1"/>
        <v>30</v>
      </c>
      <c r="D166" s="1">
        <f t="shared" si="2"/>
        <v>29136808.59</v>
      </c>
      <c r="E166" s="1">
        <v>20.57600021</v>
      </c>
      <c r="F166" s="1">
        <f t="shared" si="3"/>
        <v>5995189.797</v>
      </c>
      <c r="G166" s="1">
        <f t="shared" si="4"/>
        <v>79.42399979</v>
      </c>
      <c r="H166" s="1">
        <v>90.07454179</v>
      </c>
      <c r="I166" s="1">
        <f t="shared" si="17"/>
        <v>91</v>
      </c>
      <c r="J166" s="1">
        <v>3.979825725</v>
      </c>
      <c r="K166" s="1">
        <v>4.699081176</v>
      </c>
      <c r="L166" s="1">
        <v>1.246551314</v>
      </c>
      <c r="M166" s="1">
        <v>90.20327165</v>
      </c>
      <c r="N166" s="1">
        <v>4.207348246</v>
      </c>
      <c r="O166" s="1">
        <v>4.269023951</v>
      </c>
      <c r="P166" s="1">
        <v>1.320356149</v>
      </c>
      <c r="Q166" s="1">
        <v>89.57763316</v>
      </c>
      <c r="R166" s="1">
        <v>3.101581411</v>
      </c>
      <c r="S166" s="1">
        <v>6.359123168</v>
      </c>
      <c r="T166" s="1">
        <v>0.9616622585</v>
      </c>
      <c r="U166" s="2">
        <f t="shared" si="6"/>
        <v>2</v>
      </c>
    </row>
    <row r="167">
      <c r="A167" s="1" t="s">
        <v>87</v>
      </c>
      <c r="B167" s="1">
        <v>29825.96875</v>
      </c>
      <c r="C167" s="1">
        <f t="shared" si="1"/>
        <v>30</v>
      </c>
      <c r="D167" s="1">
        <f t="shared" si="2"/>
        <v>29825968.75</v>
      </c>
      <c r="E167" s="1">
        <v>37.90799713</v>
      </c>
      <c r="F167" s="1">
        <f t="shared" si="3"/>
        <v>11306427.38</v>
      </c>
      <c r="G167" s="1">
        <f t="shared" si="4"/>
        <v>62.09200287</v>
      </c>
      <c r="H167" s="1">
        <v>60.66356984</v>
      </c>
      <c r="I167" s="1">
        <f t="shared" si="17"/>
        <v>61</v>
      </c>
      <c r="J167" s="1">
        <v>28.9627418</v>
      </c>
      <c r="K167" s="1">
        <v>7.77785276</v>
      </c>
      <c r="L167" s="1">
        <v>2.595835594</v>
      </c>
      <c r="M167" s="1">
        <v>50.68133437</v>
      </c>
      <c r="N167" s="1">
        <v>33.53021373</v>
      </c>
      <c r="O167" s="1">
        <v>11.60782393</v>
      </c>
      <c r="P167" s="1">
        <v>4.180627978</v>
      </c>
      <c r="Q167" s="1">
        <v>77.01412934</v>
      </c>
      <c r="R167" s="1">
        <v>21.48137937</v>
      </c>
      <c r="S167" s="1">
        <v>1.504491286</v>
      </c>
      <c r="T167" s="1">
        <v>0.0</v>
      </c>
      <c r="U167" s="2">
        <f t="shared" si="6"/>
        <v>1</v>
      </c>
    </row>
    <row r="168">
      <c r="A168" s="1" t="s">
        <v>49</v>
      </c>
      <c r="B168" s="1">
        <v>31072.94531</v>
      </c>
      <c r="C168" s="1">
        <f t="shared" si="1"/>
        <v>32</v>
      </c>
      <c r="D168" s="1">
        <f t="shared" si="2"/>
        <v>31072945.31</v>
      </c>
      <c r="E168" s="1">
        <v>57.34899902</v>
      </c>
      <c r="F168" s="1">
        <f t="shared" si="3"/>
        <v>17820023.1</v>
      </c>
      <c r="G168" s="1">
        <f t="shared" si="4"/>
        <v>42.65100098</v>
      </c>
      <c r="H168" s="1">
        <v>85.79099665</v>
      </c>
      <c r="I168" s="1">
        <f t="shared" si="17"/>
        <v>86</v>
      </c>
      <c r="J168" s="1">
        <v>6.586062113</v>
      </c>
      <c r="K168" s="1">
        <v>2.812216176</v>
      </c>
      <c r="L168" s="1">
        <v>4.810725058</v>
      </c>
      <c r="M168" s="1">
        <v>71.89275005</v>
      </c>
      <c r="N168" s="1">
        <v>11.93454827</v>
      </c>
      <c r="O168" s="1">
        <v>4.999356483</v>
      </c>
      <c r="P168" s="1">
        <v>11.17334519</v>
      </c>
      <c r="Q168" s="1">
        <v>96.12725952</v>
      </c>
      <c r="R168" s="1">
        <v>2.608342455</v>
      </c>
      <c r="S168" s="1">
        <v>1.185613803</v>
      </c>
      <c r="T168" s="1">
        <v>0.07878421819</v>
      </c>
      <c r="U168" s="2">
        <f t="shared" si="6"/>
        <v>2</v>
      </c>
    </row>
    <row r="169">
      <c r="A169" s="1" t="s">
        <v>87</v>
      </c>
      <c r="B169" s="1">
        <v>31255.43555</v>
      </c>
      <c r="C169" s="1">
        <f t="shared" si="1"/>
        <v>32</v>
      </c>
      <c r="D169" s="1">
        <f t="shared" si="2"/>
        <v>31255435.55</v>
      </c>
      <c r="E169" s="1">
        <v>37.0739975</v>
      </c>
      <c r="F169" s="1">
        <f t="shared" si="3"/>
        <v>11587639.39</v>
      </c>
      <c r="G169" s="1">
        <f t="shared" si="4"/>
        <v>62.9260025</v>
      </c>
      <c r="H169" s="1">
        <v>63.36942563</v>
      </c>
      <c r="I169" s="1">
        <f t="shared" si="17"/>
        <v>64</v>
      </c>
      <c r="J169" s="1">
        <v>9.975784507</v>
      </c>
      <c r="K169" s="1">
        <v>16.72614511</v>
      </c>
      <c r="L169" s="1">
        <v>9.928644759</v>
      </c>
      <c r="M169" s="1">
        <v>48.8666865</v>
      </c>
      <c r="N169" s="1">
        <v>12.64088359</v>
      </c>
      <c r="O169" s="1">
        <v>23.6862564</v>
      </c>
      <c r="P169" s="1">
        <v>14.80617352</v>
      </c>
      <c r="Q169" s="1">
        <v>87.98504792</v>
      </c>
      <c r="R169" s="1">
        <v>5.452291027</v>
      </c>
      <c r="S169" s="1">
        <v>4.912684644</v>
      </c>
      <c r="T169" s="1">
        <v>1.649976404</v>
      </c>
      <c r="U169" s="2">
        <f t="shared" si="6"/>
        <v>1</v>
      </c>
    </row>
    <row r="170">
      <c r="A170" s="1" t="s">
        <v>29</v>
      </c>
      <c r="B170" s="1">
        <v>32365.99805</v>
      </c>
      <c r="C170" s="1">
        <f t="shared" si="1"/>
        <v>33</v>
      </c>
      <c r="D170" s="1">
        <f t="shared" si="2"/>
        <v>32365998.05</v>
      </c>
      <c r="E170" s="1">
        <v>77.15999603</v>
      </c>
      <c r="F170" s="1">
        <f t="shared" si="3"/>
        <v>24973602.81</v>
      </c>
      <c r="G170" s="1">
        <f t="shared" si="4"/>
        <v>22.84000397</v>
      </c>
      <c r="H170" s="1">
        <v>97.09990707</v>
      </c>
      <c r="I170" s="1">
        <f t="shared" si="17"/>
        <v>98</v>
      </c>
      <c r="J170" s="1">
        <v>0.3545396865</v>
      </c>
      <c r="K170" s="1">
        <v>2.545553241</v>
      </c>
      <c r="L170" s="1" t="s">
        <v>18</v>
      </c>
      <c r="M170" s="1">
        <v>90.19744812</v>
      </c>
      <c r="N170" s="1">
        <v>0.5444513971</v>
      </c>
      <c r="O170" s="1">
        <v>9.258100478</v>
      </c>
      <c r="P170" s="1" t="s">
        <v>18</v>
      </c>
      <c r="Q170" s="1">
        <v>99.14309591</v>
      </c>
      <c r="R170" s="1">
        <v>0.2983242605</v>
      </c>
      <c r="S170" s="1">
        <v>0.4685798319</v>
      </c>
      <c r="T170" s="1">
        <v>0.09</v>
      </c>
      <c r="U170" s="2">
        <f t="shared" si="6"/>
        <v>3</v>
      </c>
    </row>
    <row r="171">
      <c r="A171" s="1" t="s">
        <v>49</v>
      </c>
      <c r="B171" s="1">
        <v>32866.26953</v>
      </c>
      <c r="C171" s="1">
        <f t="shared" si="1"/>
        <v>33</v>
      </c>
      <c r="D171" s="1">
        <f t="shared" si="2"/>
        <v>32866269.53</v>
      </c>
      <c r="E171" s="1">
        <v>66.82499695</v>
      </c>
      <c r="F171" s="1">
        <f t="shared" si="3"/>
        <v>21962883.61</v>
      </c>
      <c r="G171" s="1">
        <f t="shared" si="4"/>
        <v>33.17500305</v>
      </c>
      <c r="H171" s="1">
        <v>57.16773762</v>
      </c>
      <c r="I171" s="1">
        <f t="shared" si="17"/>
        <v>58</v>
      </c>
      <c r="J171" s="1">
        <v>9.287349919</v>
      </c>
      <c r="K171" s="1">
        <v>19.45082534</v>
      </c>
      <c r="L171" s="1">
        <v>14.09408712</v>
      </c>
      <c r="M171" s="1">
        <v>27.80822661</v>
      </c>
      <c r="N171" s="1">
        <v>8.740488389</v>
      </c>
      <c r="O171" s="1">
        <v>22.93315258</v>
      </c>
      <c r="P171" s="1">
        <v>40.51813242</v>
      </c>
      <c r="Q171" s="1">
        <v>71.74314862</v>
      </c>
      <c r="R171" s="1">
        <v>9.558837489</v>
      </c>
      <c r="S171" s="1">
        <v>17.72203473</v>
      </c>
      <c r="T171" s="1">
        <v>0.9759791629</v>
      </c>
      <c r="U171" s="2">
        <f t="shared" si="6"/>
        <v>2</v>
      </c>
    </row>
    <row r="172">
      <c r="A172" s="1" t="s">
        <v>29</v>
      </c>
      <c r="B172" s="1">
        <v>32971.84766</v>
      </c>
      <c r="C172" s="1">
        <f t="shared" si="1"/>
        <v>33</v>
      </c>
      <c r="D172" s="1">
        <f t="shared" si="2"/>
        <v>32971847.66</v>
      </c>
      <c r="E172" s="1">
        <v>78.2970047</v>
      </c>
      <c r="F172" s="1">
        <f t="shared" si="3"/>
        <v>25815969.11</v>
      </c>
      <c r="G172" s="1">
        <f t="shared" si="4"/>
        <v>21.7029953</v>
      </c>
      <c r="H172" s="1">
        <v>93.13936621</v>
      </c>
      <c r="I172" s="1">
        <f t="shared" si="17"/>
        <v>94</v>
      </c>
      <c r="J172" s="1">
        <v>0.8495593511</v>
      </c>
      <c r="K172" s="1">
        <v>4.150468349</v>
      </c>
      <c r="L172" s="1">
        <v>1.860606087</v>
      </c>
      <c r="M172" s="1">
        <v>80.79943849</v>
      </c>
      <c r="N172" s="1">
        <v>1.596943771</v>
      </c>
      <c r="O172" s="1">
        <v>9.612691163</v>
      </c>
      <c r="P172" s="1">
        <v>7.990926578</v>
      </c>
      <c r="Q172" s="1">
        <v>96.55984408</v>
      </c>
      <c r="R172" s="1">
        <v>0.6423932356</v>
      </c>
      <c r="S172" s="1">
        <v>2.636408693</v>
      </c>
      <c r="T172" s="1">
        <v>0.1613539953</v>
      </c>
      <c r="U172" s="2">
        <f t="shared" si="6"/>
        <v>3</v>
      </c>
    </row>
    <row r="173">
      <c r="A173" s="1" t="s">
        <v>49</v>
      </c>
      <c r="B173" s="1">
        <v>33469.19922</v>
      </c>
      <c r="C173" s="1">
        <f t="shared" si="1"/>
        <v>34</v>
      </c>
      <c r="D173" s="1">
        <f t="shared" si="2"/>
        <v>33469199.22</v>
      </c>
      <c r="E173" s="1">
        <v>50.41599655</v>
      </c>
      <c r="F173" s="1">
        <f t="shared" si="3"/>
        <v>16873830.32</v>
      </c>
      <c r="G173" s="1">
        <f t="shared" si="4"/>
        <v>49.58400345</v>
      </c>
      <c r="H173" s="1">
        <v>97.82878485</v>
      </c>
      <c r="I173" s="1">
        <f t="shared" si="17"/>
        <v>98</v>
      </c>
      <c r="J173" s="1">
        <v>0.0</v>
      </c>
      <c r="K173" s="1">
        <v>0.22384422</v>
      </c>
      <c r="L173" s="1">
        <v>1.947370925</v>
      </c>
      <c r="M173" s="1">
        <v>96.07258236</v>
      </c>
      <c r="N173" s="1">
        <v>0.0</v>
      </c>
      <c r="O173" s="1">
        <v>0.0</v>
      </c>
      <c r="P173" s="1">
        <v>3.927417637</v>
      </c>
      <c r="Q173" s="1">
        <v>99.55600556</v>
      </c>
      <c r="R173" s="1">
        <v>0.0</v>
      </c>
      <c r="S173" s="1">
        <v>0.4439944434</v>
      </c>
      <c r="T173" s="1">
        <v>0.0</v>
      </c>
      <c r="U173" s="2">
        <f t="shared" si="6"/>
        <v>2</v>
      </c>
    </row>
    <row r="174">
      <c r="A174" s="1" t="s">
        <v>26</v>
      </c>
      <c r="B174" s="1">
        <v>34813.86719</v>
      </c>
      <c r="C174" s="1">
        <f t="shared" si="1"/>
        <v>35</v>
      </c>
      <c r="D174" s="1">
        <f t="shared" si="2"/>
        <v>34813867.19</v>
      </c>
      <c r="E174" s="1">
        <v>84.28700256</v>
      </c>
      <c r="F174" s="1">
        <f t="shared" si="3"/>
        <v>29343565.13</v>
      </c>
      <c r="G174" s="1">
        <f t="shared" si="4"/>
        <v>15.71299744</v>
      </c>
      <c r="H174" s="1">
        <v>100.0</v>
      </c>
      <c r="I174" s="1">
        <f t="shared" si="17"/>
        <v>100</v>
      </c>
      <c r="J174" s="1">
        <v>0.0</v>
      </c>
      <c r="K174" s="1">
        <v>0.0</v>
      </c>
      <c r="L174" s="1">
        <v>0.0</v>
      </c>
      <c r="M174" s="1" t="s">
        <v>18</v>
      </c>
      <c r="N174" s="1" t="s">
        <v>18</v>
      </c>
      <c r="O174" s="1" t="s">
        <v>18</v>
      </c>
      <c r="P174" s="1" t="s">
        <v>18</v>
      </c>
      <c r="Q174" s="1" t="s">
        <v>18</v>
      </c>
      <c r="R174" s="1" t="s">
        <v>18</v>
      </c>
      <c r="S174" s="1" t="s">
        <v>18</v>
      </c>
      <c r="T174" s="1" t="s">
        <v>18</v>
      </c>
      <c r="U174" s="2">
        <f t="shared" si="6"/>
        <v>4</v>
      </c>
    </row>
    <row r="175">
      <c r="A175" s="1" t="s">
        <v>49</v>
      </c>
      <c r="B175" s="1">
        <v>36910.55859</v>
      </c>
      <c r="C175" s="1">
        <f t="shared" si="1"/>
        <v>37</v>
      </c>
      <c r="D175" s="1">
        <f t="shared" si="2"/>
        <v>36910558.59</v>
      </c>
      <c r="E175" s="1">
        <v>63.53199768</v>
      </c>
      <c r="F175" s="1">
        <f t="shared" si="3"/>
        <v>23450015.23</v>
      </c>
      <c r="G175" s="1">
        <f t="shared" si="4"/>
        <v>36.46800232</v>
      </c>
      <c r="H175" s="1">
        <v>90.40234468</v>
      </c>
      <c r="I175" s="1">
        <f t="shared" si="17"/>
        <v>91</v>
      </c>
      <c r="J175" s="1">
        <v>5.263549601</v>
      </c>
      <c r="K175" s="1">
        <v>2.8776725</v>
      </c>
      <c r="L175" s="1">
        <v>1.456433219</v>
      </c>
      <c r="M175" s="1">
        <v>77.34612896</v>
      </c>
      <c r="N175" s="1">
        <v>12.03707816</v>
      </c>
      <c r="O175" s="1">
        <v>6.623063373</v>
      </c>
      <c r="P175" s="1">
        <v>3.993729502</v>
      </c>
      <c r="Q175" s="1">
        <v>97.89674601</v>
      </c>
      <c r="R175" s="1">
        <v>1.375477117</v>
      </c>
      <c r="S175" s="1">
        <v>0.7277768759</v>
      </c>
      <c r="T175" s="1">
        <v>0.0</v>
      </c>
      <c r="U175" s="2">
        <f t="shared" si="6"/>
        <v>2</v>
      </c>
    </row>
    <row r="176">
      <c r="A176" s="1" t="s">
        <v>26</v>
      </c>
      <c r="B176" s="1">
        <v>37742.15625</v>
      </c>
      <c r="C176" s="1">
        <f t="shared" si="1"/>
        <v>38</v>
      </c>
      <c r="D176" s="1">
        <f t="shared" si="2"/>
        <v>37742156.25</v>
      </c>
      <c r="E176" s="1">
        <v>81.56200409</v>
      </c>
      <c r="F176" s="1">
        <f t="shared" si="3"/>
        <v>30783259.02</v>
      </c>
      <c r="G176" s="1">
        <f t="shared" si="4"/>
        <v>18.43799591</v>
      </c>
      <c r="H176" s="1">
        <v>99.22181066</v>
      </c>
      <c r="I176" s="1">
        <f t="shared" si="17"/>
        <v>100</v>
      </c>
      <c r="J176" s="1">
        <v>0.0</v>
      </c>
      <c r="K176" s="1">
        <v>0.7781893369</v>
      </c>
      <c r="L176" s="1">
        <v>0.0</v>
      </c>
      <c r="M176" s="1">
        <v>99.0604959</v>
      </c>
      <c r="N176" s="1">
        <v>0.0</v>
      </c>
      <c r="O176" s="1">
        <v>0.9395041006</v>
      </c>
      <c r="P176" s="1">
        <v>0.0</v>
      </c>
      <c r="Q176" s="1">
        <v>99.25827766</v>
      </c>
      <c r="R176" s="1">
        <v>0.0</v>
      </c>
      <c r="S176" s="1">
        <v>0.7417223371</v>
      </c>
      <c r="T176" s="1">
        <v>0.0</v>
      </c>
      <c r="U176" s="2">
        <f t="shared" si="6"/>
        <v>4</v>
      </c>
    </row>
    <row r="177">
      <c r="A177" s="1" t="s">
        <v>26</v>
      </c>
      <c r="B177" s="1">
        <v>37846.60547</v>
      </c>
      <c r="C177" s="1">
        <f t="shared" si="1"/>
        <v>38</v>
      </c>
      <c r="D177" s="1">
        <f t="shared" si="2"/>
        <v>37846605.47</v>
      </c>
      <c r="E177" s="1">
        <v>60.04300308</v>
      </c>
      <c r="F177" s="1">
        <f t="shared" si="3"/>
        <v>22724238.49</v>
      </c>
      <c r="G177" s="1">
        <f t="shared" si="4"/>
        <v>39.95699692</v>
      </c>
      <c r="H177" s="1">
        <v>99.96659155</v>
      </c>
      <c r="I177" s="1">
        <f t="shared" si="17"/>
        <v>100</v>
      </c>
      <c r="J177" s="1">
        <v>0.0</v>
      </c>
      <c r="K177" s="1">
        <v>0.03340844529</v>
      </c>
      <c r="L177" s="1">
        <v>0.0</v>
      </c>
      <c r="M177" s="1">
        <v>100.0</v>
      </c>
      <c r="N177" s="1">
        <v>0.0</v>
      </c>
      <c r="O177" s="1">
        <v>0.0</v>
      </c>
      <c r="P177" s="1">
        <v>0.0</v>
      </c>
      <c r="Q177" s="1">
        <v>99.94435484</v>
      </c>
      <c r="R177" s="1">
        <v>0.0</v>
      </c>
      <c r="S177" s="1">
        <v>0.05564516129</v>
      </c>
      <c r="T177" s="1">
        <v>0.0</v>
      </c>
      <c r="U177" s="2">
        <f t="shared" si="6"/>
        <v>4</v>
      </c>
    </row>
    <row r="178">
      <c r="A178" s="1" t="s">
        <v>87</v>
      </c>
      <c r="B178" s="1">
        <v>38928.33984</v>
      </c>
      <c r="C178" s="1">
        <f t="shared" si="1"/>
        <v>39</v>
      </c>
      <c r="D178" s="1">
        <f t="shared" si="2"/>
        <v>38928339.84</v>
      </c>
      <c r="E178" s="1">
        <v>26.02599907</v>
      </c>
      <c r="F178" s="1">
        <f t="shared" si="3"/>
        <v>10131489.36</v>
      </c>
      <c r="G178" s="1">
        <f t="shared" si="4"/>
        <v>73.97400093</v>
      </c>
      <c r="H178" s="1">
        <v>75.09141325</v>
      </c>
      <c r="I178" s="1">
        <f t="shared" si="17"/>
        <v>76</v>
      </c>
      <c r="J178" s="1">
        <v>1.447541688</v>
      </c>
      <c r="K178" s="1">
        <v>14.56026288</v>
      </c>
      <c r="L178" s="1">
        <v>8.900782174</v>
      </c>
      <c r="M178" s="1">
        <v>66.32791521</v>
      </c>
      <c r="N178" s="1">
        <v>1.956824851</v>
      </c>
      <c r="O178" s="1">
        <v>19.68294895</v>
      </c>
      <c r="P178" s="1">
        <v>12.03231098</v>
      </c>
      <c r="Q178" s="1">
        <v>100.0</v>
      </c>
      <c r="R178" s="1">
        <v>0.0</v>
      </c>
      <c r="S178" s="1">
        <v>0.0</v>
      </c>
      <c r="T178" s="1">
        <v>0.0</v>
      </c>
      <c r="U178" s="2">
        <f t="shared" si="6"/>
        <v>1</v>
      </c>
    </row>
    <row r="179">
      <c r="A179" s="1" t="s">
        <v>29</v>
      </c>
      <c r="B179" s="1">
        <v>40222.50391</v>
      </c>
      <c r="C179" s="1">
        <f t="shared" si="1"/>
        <v>41</v>
      </c>
      <c r="D179" s="1">
        <f t="shared" si="2"/>
        <v>40222503.91</v>
      </c>
      <c r="E179" s="1">
        <v>70.89299774</v>
      </c>
      <c r="F179" s="1">
        <f t="shared" si="3"/>
        <v>28514938.79</v>
      </c>
      <c r="G179" s="1">
        <f t="shared" si="4"/>
        <v>29.10700226</v>
      </c>
      <c r="H179" s="1">
        <v>98.35990325</v>
      </c>
      <c r="I179" s="1">
        <f t="shared" si="17"/>
        <v>99</v>
      </c>
      <c r="J179" s="1">
        <v>0.8921603495</v>
      </c>
      <c r="K179" s="1">
        <v>2.427900808E-6</v>
      </c>
      <c r="L179" s="1">
        <v>0.7479339713</v>
      </c>
      <c r="M179" s="1">
        <v>94.83114678</v>
      </c>
      <c r="N179" s="1">
        <v>2.599251339</v>
      </c>
      <c r="O179" s="1">
        <v>0.0</v>
      </c>
      <c r="P179" s="1">
        <v>2.569601877</v>
      </c>
      <c r="Q179" s="1">
        <v>99.80873103</v>
      </c>
      <c r="R179" s="1">
        <v>0.19126897</v>
      </c>
      <c r="S179" s="1">
        <v>0.0</v>
      </c>
      <c r="T179" s="1">
        <v>0.0</v>
      </c>
      <c r="U179" s="2">
        <f t="shared" si="6"/>
        <v>3</v>
      </c>
    </row>
    <row r="180">
      <c r="A180" s="1" t="s">
        <v>49</v>
      </c>
      <c r="B180" s="1">
        <v>43733.75781</v>
      </c>
      <c r="C180" s="1">
        <f t="shared" si="1"/>
        <v>44</v>
      </c>
      <c r="D180" s="1">
        <f t="shared" si="2"/>
        <v>43733757.81</v>
      </c>
      <c r="E180" s="1">
        <v>69.60800171</v>
      </c>
      <c r="F180" s="1">
        <f t="shared" si="3"/>
        <v>30442194.88</v>
      </c>
      <c r="G180" s="1">
        <f t="shared" si="4"/>
        <v>30.39199829</v>
      </c>
      <c r="H180" s="1">
        <v>93.92828195</v>
      </c>
      <c r="I180" s="1">
        <f t="shared" si="17"/>
        <v>94</v>
      </c>
      <c r="J180" s="1">
        <v>5.671978717</v>
      </c>
      <c r="K180" s="1">
        <v>0.07590450129</v>
      </c>
      <c r="L180" s="1">
        <v>0.323834836</v>
      </c>
      <c r="M180" s="1">
        <v>100.0</v>
      </c>
      <c r="N180" s="1">
        <v>0.0</v>
      </c>
      <c r="O180" s="1">
        <v>0.0</v>
      </c>
      <c r="P180" s="1">
        <v>0.0</v>
      </c>
      <c r="Q180" s="1">
        <v>91.27727011</v>
      </c>
      <c r="R180" s="1">
        <v>8.14845779</v>
      </c>
      <c r="S180" s="1">
        <v>0.1090456533</v>
      </c>
      <c r="T180" s="1">
        <v>0.4652264446</v>
      </c>
      <c r="U180" s="2">
        <f t="shared" si="6"/>
        <v>2</v>
      </c>
    </row>
    <row r="181">
      <c r="A181" s="1" t="s">
        <v>87</v>
      </c>
      <c r="B181" s="1">
        <v>43849.26953</v>
      </c>
      <c r="C181" s="1">
        <f t="shared" si="1"/>
        <v>44</v>
      </c>
      <c r="D181" s="1">
        <f t="shared" si="2"/>
        <v>43849269.53</v>
      </c>
      <c r="E181" s="1">
        <v>35.25299835</v>
      </c>
      <c r="F181" s="1">
        <f t="shared" si="3"/>
        <v>15458182.26</v>
      </c>
      <c r="G181" s="1">
        <f t="shared" si="4"/>
        <v>64.74700165</v>
      </c>
      <c r="H181" s="1">
        <v>60.4486756</v>
      </c>
      <c r="I181" s="1">
        <f t="shared" si="17"/>
        <v>61</v>
      </c>
      <c r="J181" s="1">
        <v>26.67001975</v>
      </c>
      <c r="K181" s="1">
        <v>3.650217875</v>
      </c>
      <c r="L181" s="1">
        <v>9.231086774</v>
      </c>
      <c r="M181" s="1">
        <v>53.19902707</v>
      </c>
      <c r="N181" s="1">
        <v>27.45764451</v>
      </c>
      <c r="O181" s="1">
        <v>5.637660008</v>
      </c>
      <c r="P181" s="1">
        <v>13.70566842</v>
      </c>
      <c r="Q181" s="1">
        <v>73.76365956</v>
      </c>
      <c r="R181" s="1">
        <v>25.22343986</v>
      </c>
      <c r="S181" s="1">
        <v>0.0</v>
      </c>
      <c r="T181" s="1">
        <v>1.012900581</v>
      </c>
      <c r="U181" s="2">
        <f t="shared" si="6"/>
        <v>1</v>
      </c>
    </row>
    <row r="182">
      <c r="A182" s="1" t="s">
        <v>49</v>
      </c>
      <c r="B182" s="1">
        <v>43851.04297</v>
      </c>
      <c r="C182" s="1">
        <f t="shared" si="1"/>
        <v>44</v>
      </c>
      <c r="D182" s="1">
        <f t="shared" si="2"/>
        <v>43851042.97</v>
      </c>
      <c r="E182" s="1">
        <v>73.73300171</v>
      </c>
      <c r="F182" s="1">
        <f t="shared" si="3"/>
        <v>32332690.26</v>
      </c>
      <c r="G182" s="1">
        <f t="shared" si="4"/>
        <v>26.26699829</v>
      </c>
      <c r="H182" s="1">
        <v>94.43732996</v>
      </c>
      <c r="I182" s="1">
        <f t="shared" si="17"/>
        <v>95</v>
      </c>
      <c r="J182" s="1">
        <v>4.985880842</v>
      </c>
      <c r="K182" s="1">
        <v>0.5318366638</v>
      </c>
      <c r="L182" s="1">
        <v>0.04495253272</v>
      </c>
      <c r="M182" s="1">
        <v>90.03753791</v>
      </c>
      <c r="N182" s="1">
        <v>8.79672214</v>
      </c>
      <c r="O182" s="1">
        <v>0.9946030281</v>
      </c>
      <c r="P182" s="1">
        <v>0.1711369258</v>
      </c>
      <c r="Q182" s="1">
        <v>96.00473586</v>
      </c>
      <c r="R182" s="1">
        <v>3.628288591</v>
      </c>
      <c r="S182" s="1">
        <v>0.3669755478</v>
      </c>
      <c r="T182" s="1">
        <v>0.0</v>
      </c>
      <c r="U182" s="2">
        <f t="shared" si="6"/>
        <v>2</v>
      </c>
    </row>
    <row r="183">
      <c r="A183" s="1" t="s">
        <v>29</v>
      </c>
      <c r="B183" s="1">
        <v>45195.77734</v>
      </c>
      <c r="C183" s="1">
        <f t="shared" si="1"/>
        <v>46</v>
      </c>
      <c r="D183" s="1">
        <f t="shared" si="2"/>
        <v>45195777.34</v>
      </c>
      <c r="E183" s="1">
        <v>92.11100006</v>
      </c>
      <c r="F183" s="1">
        <f t="shared" si="3"/>
        <v>41630282.49</v>
      </c>
      <c r="G183" s="1">
        <f t="shared" si="4"/>
        <v>7.88899994</v>
      </c>
      <c r="H183" s="1" t="s">
        <v>18</v>
      </c>
      <c r="I183" s="1" t="s">
        <v>18</v>
      </c>
      <c r="J183" s="1" t="s">
        <v>18</v>
      </c>
      <c r="K183" s="1" t="s">
        <v>18</v>
      </c>
      <c r="L183" s="1" t="s">
        <v>18</v>
      </c>
      <c r="M183" s="1" t="s">
        <v>18</v>
      </c>
      <c r="N183" s="1" t="s">
        <v>18</v>
      </c>
      <c r="O183" s="1" t="s">
        <v>18</v>
      </c>
      <c r="P183" s="1" t="s">
        <v>18</v>
      </c>
      <c r="Q183" s="1">
        <v>99.79042065</v>
      </c>
      <c r="R183" s="1">
        <v>0.0</v>
      </c>
      <c r="S183" s="1">
        <v>0.2095793501</v>
      </c>
      <c r="T183" s="1">
        <v>0.0</v>
      </c>
      <c r="U183" s="2">
        <f t="shared" si="6"/>
        <v>3</v>
      </c>
    </row>
    <row r="184">
      <c r="A184" s="1" t="s">
        <v>87</v>
      </c>
      <c r="B184" s="1">
        <v>45741.0</v>
      </c>
      <c r="C184" s="1">
        <f t="shared" si="1"/>
        <v>46</v>
      </c>
      <c r="D184" s="1">
        <f t="shared" si="2"/>
        <v>45741000</v>
      </c>
      <c r="E184" s="1">
        <v>24.95400047</v>
      </c>
      <c r="F184" s="1">
        <f t="shared" si="3"/>
        <v>11414209.35</v>
      </c>
      <c r="G184" s="1">
        <f t="shared" si="4"/>
        <v>75.04599953</v>
      </c>
      <c r="H184" s="1">
        <v>55.85504921</v>
      </c>
      <c r="I184" s="1">
        <f t="shared" ref="I184:I195" si="18">ROUNDUP(H184,0)</f>
        <v>56</v>
      </c>
      <c r="J184" s="1">
        <v>27.28286</v>
      </c>
      <c r="K184" s="1">
        <v>12.16590654</v>
      </c>
      <c r="L184" s="1">
        <v>4.696184252</v>
      </c>
      <c r="M184" s="1">
        <v>48.23118958</v>
      </c>
      <c r="N184" s="1">
        <v>31.78469426</v>
      </c>
      <c r="O184" s="1">
        <v>14.07616061</v>
      </c>
      <c r="P184" s="1">
        <v>5.907955546</v>
      </c>
      <c r="Q184" s="1">
        <v>78.7828518</v>
      </c>
      <c r="R184" s="1">
        <v>13.74416783</v>
      </c>
      <c r="S184" s="1">
        <v>6.421044133</v>
      </c>
      <c r="T184" s="1">
        <v>1.051936238</v>
      </c>
      <c r="U184" s="2">
        <f t="shared" si="6"/>
        <v>1</v>
      </c>
    </row>
    <row r="185">
      <c r="A185" s="1" t="s">
        <v>26</v>
      </c>
      <c r="B185" s="1">
        <v>46754.78125</v>
      </c>
      <c r="C185" s="1">
        <f t="shared" si="1"/>
        <v>47</v>
      </c>
      <c r="D185" s="1">
        <f t="shared" si="2"/>
        <v>46754781.25</v>
      </c>
      <c r="E185" s="1">
        <v>80.80999756</v>
      </c>
      <c r="F185" s="1">
        <f t="shared" si="3"/>
        <v>37782537.59</v>
      </c>
      <c r="G185" s="1">
        <f t="shared" si="4"/>
        <v>19.19000244</v>
      </c>
      <c r="H185" s="1">
        <v>99.92561261</v>
      </c>
      <c r="I185" s="1">
        <f t="shared" si="18"/>
        <v>100</v>
      </c>
      <c r="J185" s="1">
        <v>0.0</v>
      </c>
      <c r="K185" s="1">
        <v>0.07438739142</v>
      </c>
      <c r="L185" s="1">
        <v>0.0</v>
      </c>
      <c r="M185" s="1">
        <v>100.0</v>
      </c>
      <c r="N185" s="1">
        <v>0.0</v>
      </c>
      <c r="O185" s="1">
        <v>0.0</v>
      </c>
      <c r="P185" s="1">
        <v>0.0</v>
      </c>
      <c r="Q185" s="1">
        <v>99.90794521</v>
      </c>
      <c r="R185" s="1">
        <v>0.0</v>
      </c>
      <c r="S185" s="1">
        <v>0.09205479452</v>
      </c>
      <c r="T185" s="1">
        <v>0.0</v>
      </c>
      <c r="U185" s="2">
        <f t="shared" si="6"/>
        <v>4</v>
      </c>
    </row>
    <row r="186">
      <c r="A186" s="1" t="s">
        <v>29</v>
      </c>
      <c r="B186" s="1">
        <v>50882.88281</v>
      </c>
      <c r="C186" s="1">
        <f t="shared" si="1"/>
        <v>51</v>
      </c>
      <c r="D186" s="1">
        <f t="shared" si="2"/>
        <v>50882882.81</v>
      </c>
      <c r="E186" s="1">
        <v>81.42499542</v>
      </c>
      <c r="F186" s="1">
        <f t="shared" si="3"/>
        <v>41431385</v>
      </c>
      <c r="G186" s="1">
        <f t="shared" si="4"/>
        <v>18.57500458</v>
      </c>
      <c r="H186" s="1">
        <v>97.49165711</v>
      </c>
      <c r="I186" s="1">
        <f t="shared" si="18"/>
        <v>98</v>
      </c>
      <c r="J186" s="1">
        <v>0.1861521591</v>
      </c>
      <c r="K186" s="1">
        <v>0.9536162228</v>
      </c>
      <c r="L186" s="1">
        <v>1.368574512</v>
      </c>
      <c r="M186" s="1">
        <v>86.76707282</v>
      </c>
      <c r="N186" s="1">
        <v>0.7312282016</v>
      </c>
      <c r="O186" s="1">
        <v>5.13386897</v>
      </c>
      <c r="P186" s="1">
        <v>7.367830005</v>
      </c>
      <c r="Q186" s="1">
        <v>99.9381928</v>
      </c>
      <c r="R186" s="1">
        <v>0.0618072</v>
      </c>
      <c r="S186" s="1">
        <v>0.0</v>
      </c>
      <c r="T186" s="1">
        <v>0.0</v>
      </c>
      <c r="U186" s="2">
        <f t="shared" si="6"/>
        <v>3</v>
      </c>
    </row>
    <row r="187">
      <c r="A187" s="1" t="s">
        <v>26</v>
      </c>
      <c r="B187" s="1">
        <v>51269.18359</v>
      </c>
      <c r="C187" s="1">
        <f t="shared" si="1"/>
        <v>52</v>
      </c>
      <c r="D187" s="1">
        <f t="shared" si="2"/>
        <v>51269183.59</v>
      </c>
      <c r="E187" s="1">
        <v>81.41400146</v>
      </c>
      <c r="F187" s="1">
        <f t="shared" si="3"/>
        <v>41740293.88</v>
      </c>
      <c r="G187" s="1">
        <f t="shared" si="4"/>
        <v>18.58599854</v>
      </c>
      <c r="H187" s="1">
        <v>99.93139665</v>
      </c>
      <c r="I187" s="1">
        <f t="shared" si="18"/>
        <v>100</v>
      </c>
      <c r="J187" s="1">
        <v>0.0</v>
      </c>
      <c r="K187" s="1">
        <v>0.06860335296</v>
      </c>
      <c r="L187" s="1">
        <v>0.0</v>
      </c>
      <c r="M187" s="1" t="s">
        <v>18</v>
      </c>
      <c r="N187" s="1" t="s">
        <v>18</v>
      </c>
      <c r="O187" s="1" t="s">
        <v>18</v>
      </c>
      <c r="P187" s="1" t="s">
        <v>18</v>
      </c>
      <c r="Q187" s="1" t="s">
        <v>18</v>
      </c>
      <c r="R187" s="1" t="s">
        <v>18</v>
      </c>
      <c r="S187" s="1" t="s">
        <v>18</v>
      </c>
      <c r="T187" s="1" t="s">
        <v>18</v>
      </c>
      <c r="U187" s="2">
        <f t="shared" si="6"/>
        <v>4</v>
      </c>
    </row>
    <row r="188">
      <c r="A188" s="1" t="s">
        <v>49</v>
      </c>
      <c r="B188" s="1">
        <v>53771.30078</v>
      </c>
      <c r="C188" s="1">
        <f t="shared" si="1"/>
        <v>54</v>
      </c>
      <c r="D188" s="1">
        <f t="shared" si="2"/>
        <v>53771300.78</v>
      </c>
      <c r="E188" s="1">
        <v>27.99499893</v>
      </c>
      <c r="F188" s="1">
        <f t="shared" si="3"/>
        <v>15053275.08</v>
      </c>
      <c r="G188" s="1">
        <f t="shared" si="4"/>
        <v>72.00500107</v>
      </c>
      <c r="H188" s="1">
        <v>61.63289158</v>
      </c>
      <c r="I188" s="1">
        <f t="shared" si="18"/>
        <v>62</v>
      </c>
      <c r="J188" s="1">
        <v>9.54187005</v>
      </c>
      <c r="K188" s="1">
        <v>9.780087524</v>
      </c>
      <c r="L188" s="1">
        <v>19.04515084</v>
      </c>
      <c r="M188" s="1">
        <v>51.77997893</v>
      </c>
      <c r="N188" s="1">
        <v>11.56900419</v>
      </c>
      <c r="O188" s="1">
        <v>12.51911322</v>
      </c>
      <c r="P188" s="1">
        <v>24.13190366</v>
      </c>
      <c r="Q188" s="1">
        <v>86.97523145</v>
      </c>
      <c r="R188" s="1">
        <v>4.327944725</v>
      </c>
      <c r="S188" s="1">
        <v>2.73514263</v>
      </c>
      <c r="T188" s="1">
        <v>5.961681193</v>
      </c>
      <c r="U188" s="2">
        <f t="shared" si="6"/>
        <v>2</v>
      </c>
    </row>
    <row r="189">
      <c r="A189" s="1" t="s">
        <v>49</v>
      </c>
      <c r="B189" s="1">
        <v>54409.79297</v>
      </c>
      <c r="C189" s="1">
        <f t="shared" si="1"/>
        <v>55</v>
      </c>
      <c r="D189" s="1">
        <f t="shared" si="2"/>
        <v>54409792.97</v>
      </c>
      <c r="E189" s="1">
        <v>31.14100075</v>
      </c>
      <c r="F189" s="1">
        <f t="shared" si="3"/>
        <v>16943754.04</v>
      </c>
      <c r="G189" s="1">
        <f t="shared" si="4"/>
        <v>68.85899925</v>
      </c>
      <c r="H189" s="1">
        <v>83.71819191</v>
      </c>
      <c r="I189" s="1">
        <f t="shared" si="18"/>
        <v>84</v>
      </c>
      <c r="J189" s="1">
        <v>1.595436949</v>
      </c>
      <c r="K189" s="1">
        <v>5.10942478</v>
      </c>
      <c r="L189" s="1">
        <v>9.576946362</v>
      </c>
      <c r="M189" s="1">
        <v>78.42256469</v>
      </c>
      <c r="N189" s="1">
        <v>2.316962142</v>
      </c>
      <c r="O189" s="1">
        <v>6.592393694</v>
      </c>
      <c r="P189" s="1">
        <v>12.66807947</v>
      </c>
      <c r="Q189" s="1">
        <v>95.42788606</v>
      </c>
      <c r="R189" s="1">
        <v>0.0</v>
      </c>
      <c r="S189" s="1">
        <v>1.830283006</v>
      </c>
      <c r="T189" s="1">
        <v>2.741830931</v>
      </c>
      <c r="U189" s="2">
        <f t="shared" si="6"/>
        <v>2</v>
      </c>
    </row>
    <row r="190">
      <c r="A190" s="1" t="s">
        <v>29</v>
      </c>
      <c r="B190" s="1">
        <v>59308.69141</v>
      </c>
      <c r="C190" s="1">
        <f t="shared" si="1"/>
        <v>60</v>
      </c>
      <c r="D190" s="1">
        <f t="shared" si="2"/>
        <v>59308691.41</v>
      </c>
      <c r="E190" s="1">
        <v>67.35400391</v>
      </c>
      <c r="F190" s="1">
        <f t="shared" si="3"/>
        <v>39946778.33</v>
      </c>
      <c r="G190" s="1">
        <f t="shared" si="4"/>
        <v>32.64599609</v>
      </c>
      <c r="H190" s="1">
        <v>93.88505744</v>
      </c>
      <c r="I190" s="1">
        <f t="shared" si="18"/>
        <v>94</v>
      </c>
      <c r="J190" s="1">
        <v>2.772736186</v>
      </c>
      <c r="K190" s="1">
        <v>1.410816657</v>
      </c>
      <c r="L190" s="1">
        <v>1.931389712</v>
      </c>
      <c r="M190" s="1">
        <v>83.32948118</v>
      </c>
      <c r="N190" s="1">
        <v>6.977359359</v>
      </c>
      <c r="O190" s="1">
        <v>3.776999287</v>
      </c>
      <c r="P190" s="1">
        <v>5.916160173</v>
      </c>
      <c r="Q190" s="1">
        <v>99.00126484</v>
      </c>
      <c r="R190" s="1">
        <v>0.734785403</v>
      </c>
      <c r="S190" s="1">
        <v>0.2639497547</v>
      </c>
      <c r="T190" s="1">
        <v>0.0</v>
      </c>
      <c r="U190" s="2">
        <f t="shared" si="6"/>
        <v>3</v>
      </c>
    </row>
    <row r="191">
      <c r="A191" s="1" t="s">
        <v>49</v>
      </c>
      <c r="B191" s="1">
        <v>59734.21484</v>
      </c>
      <c r="C191" s="1">
        <f t="shared" si="1"/>
        <v>60</v>
      </c>
      <c r="D191" s="1">
        <f t="shared" si="2"/>
        <v>59734214.84</v>
      </c>
      <c r="E191" s="1">
        <v>35.22700119</v>
      </c>
      <c r="F191" s="1">
        <f t="shared" si="3"/>
        <v>21042572.57</v>
      </c>
      <c r="G191" s="1">
        <f t="shared" si="4"/>
        <v>64.77299881</v>
      </c>
      <c r="H191" s="1">
        <v>60.71679759</v>
      </c>
      <c r="I191" s="1">
        <f t="shared" si="18"/>
        <v>61</v>
      </c>
      <c r="J191" s="1">
        <v>11.29007067</v>
      </c>
      <c r="K191" s="1">
        <v>14.51775136</v>
      </c>
      <c r="L191" s="1">
        <v>13.47538038</v>
      </c>
      <c r="M191" s="1">
        <v>45.44696534</v>
      </c>
      <c r="N191" s="1">
        <v>13.98368881</v>
      </c>
      <c r="O191" s="1">
        <v>21.21996133</v>
      </c>
      <c r="P191" s="1">
        <v>19.34938452</v>
      </c>
      <c r="Q191" s="1">
        <v>88.7939249</v>
      </c>
      <c r="R191" s="1">
        <v>6.337231166</v>
      </c>
      <c r="S191" s="1">
        <v>2.194178786</v>
      </c>
      <c r="T191" s="1">
        <v>2.674665152</v>
      </c>
      <c r="U191" s="2">
        <f t="shared" si="6"/>
        <v>2</v>
      </c>
    </row>
    <row r="192">
      <c r="A192" s="1" t="s">
        <v>26</v>
      </c>
      <c r="B192" s="1">
        <v>60461.82813</v>
      </c>
      <c r="C192" s="1">
        <f t="shared" si="1"/>
        <v>61</v>
      </c>
      <c r="D192" s="1">
        <f t="shared" si="2"/>
        <v>60461828.13</v>
      </c>
      <c r="E192" s="1">
        <v>71.03899384</v>
      </c>
      <c r="F192" s="1">
        <f t="shared" si="3"/>
        <v>42951474.36</v>
      </c>
      <c r="G192" s="1">
        <f t="shared" si="4"/>
        <v>28.96100616</v>
      </c>
      <c r="H192" s="1">
        <v>99.91703407</v>
      </c>
      <c r="I192" s="1">
        <f t="shared" si="18"/>
        <v>100</v>
      </c>
      <c r="J192" s="1">
        <v>0.0</v>
      </c>
      <c r="K192" s="1">
        <v>0.08296592591</v>
      </c>
      <c r="L192" s="1">
        <v>0.0</v>
      </c>
      <c r="M192" s="1" t="s">
        <v>18</v>
      </c>
      <c r="N192" s="1" t="s">
        <v>18</v>
      </c>
      <c r="O192" s="1" t="s">
        <v>18</v>
      </c>
      <c r="P192" s="1" t="s">
        <v>18</v>
      </c>
      <c r="Q192" s="1" t="s">
        <v>18</v>
      </c>
      <c r="R192" s="1" t="s">
        <v>18</v>
      </c>
      <c r="S192" s="1" t="s">
        <v>18</v>
      </c>
      <c r="T192" s="1" t="s">
        <v>18</v>
      </c>
      <c r="U192" s="2">
        <f t="shared" si="6"/>
        <v>4</v>
      </c>
    </row>
    <row r="193">
      <c r="A193" s="1" t="s">
        <v>26</v>
      </c>
      <c r="B193" s="1">
        <v>65273.51172</v>
      </c>
      <c r="C193" s="1">
        <f t="shared" si="1"/>
        <v>66</v>
      </c>
      <c r="D193" s="1">
        <f t="shared" si="2"/>
        <v>65273511.72</v>
      </c>
      <c r="E193" s="1">
        <v>80.97499847</v>
      </c>
      <c r="F193" s="1">
        <f t="shared" si="3"/>
        <v>52855225.12</v>
      </c>
      <c r="G193" s="1">
        <f t="shared" si="4"/>
        <v>19.02500153</v>
      </c>
      <c r="H193" s="1">
        <v>99.9999985</v>
      </c>
      <c r="I193" s="1">
        <f t="shared" si="18"/>
        <v>100</v>
      </c>
      <c r="J193" s="1">
        <v>0.0</v>
      </c>
      <c r="K193" s="1">
        <v>1.49610841E-6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1">
        <v>100.0</v>
      </c>
      <c r="R193" s="1">
        <v>0.0</v>
      </c>
      <c r="S193" s="1">
        <v>0.0</v>
      </c>
      <c r="T193" s="1">
        <v>0.0</v>
      </c>
      <c r="U193" s="2">
        <f t="shared" si="6"/>
        <v>4</v>
      </c>
    </row>
    <row r="194">
      <c r="A194" s="1" t="s">
        <v>26</v>
      </c>
      <c r="B194" s="1">
        <v>67886.00781</v>
      </c>
      <c r="C194" s="1">
        <f t="shared" si="1"/>
        <v>68</v>
      </c>
      <c r="D194" s="1">
        <f t="shared" si="2"/>
        <v>67886007.81</v>
      </c>
      <c r="E194" s="1">
        <v>83.90299988</v>
      </c>
      <c r="F194" s="1">
        <f t="shared" si="3"/>
        <v>56958397.05</v>
      </c>
      <c r="G194" s="1">
        <f t="shared" si="4"/>
        <v>16.09700012</v>
      </c>
      <c r="H194" s="1">
        <v>99.99999856</v>
      </c>
      <c r="I194" s="1">
        <f t="shared" si="18"/>
        <v>100</v>
      </c>
      <c r="J194" s="1">
        <v>0.0</v>
      </c>
      <c r="K194" s="1">
        <v>1.43853282E-6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  <c r="Q194" s="1">
        <v>100.0</v>
      </c>
      <c r="R194" s="1">
        <v>0.0</v>
      </c>
      <c r="S194" s="1">
        <v>0.0</v>
      </c>
      <c r="T194" s="1">
        <v>0.0</v>
      </c>
      <c r="U194" s="2">
        <f t="shared" si="6"/>
        <v>4</v>
      </c>
    </row>
    <row r="195">
      <c r="A195" s="1" t="s">
        <v>29</v>
      </c>
      <c r="B195" s="1">
        <v>69799.97656</v>
      </c>
      <c r="C195" s="1">
        <f t="shared" si="1"/>
        <v>70</v>
      </c>
      <c r="D195" s="1">
        <f t="shared" si="2"/>
        <v>69799976.56</v>
      </c>
      <c r="E195" s="1">
        <v>51.43000031</v>
      </c>
      <c r="F195" s="1">
        <f t="shared" si="3"/>
        <v>35898128.16</v>
      </c>
      <c r="G195" s="1">
        <f t="shared" si="4"/>
        <v>48.56999969</v>
      </c>
      <c r="H195" s="1">
        <v>100.0</v>
      </c>
      <c r="I195" s="1">
        <f t="shared" si="18"/>
        <v>100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  <c r="Q195" s="1">
        <v>100.0</v>
      </c>
      <c r="R195" s="1">
        <v>0.0</v>
      </c>
      <c r="S195" s="1">
        <v>0.0</v>
      </c>
      <c r="T195" s="1">
        <v>0.0</v>
      </c>
      <c r="U195" s="2">
        <f t="shared" si="6"/>
        <v>3</v>
      </c>
    </row>
    <row r="196">
      <c r="A196" s="1" t="s">
        <v>26</v>
      </c>
      <c r="B196" s="1">
        <v>83783.94531</v>
      </c>
      <c r="C196" s="1">
        <f t="shared" si="1"/>
        <v>84</v>
      </c>
      <c r="D196" s="1">
        <f t="shared" si="2"/>
        <v>83783945.31</v>
      </c>
      <c r="E196" s="1">
        <v>77.45300293</v>
      </c>
      <c r="F196" s="1">
        <f t="shared" si="3"/>
        <v>64893181.62</v>
      </c>
      <c r="G196" s="1">
        <f t="shared" si="4"/>
        <v>22.54699707</v>
      </c>
      <c r="H196" s="1">
        <v>100.0000023</v>
      </c>
      <c r="I196" s="1">
        <f>if(H196&gt;100, 100, H176)</f>
        <v>100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  <c r="Q196" s="1">
        <v>100.0</v>
      </c>
      <c r="R196" s="1">
        <v>0.0</v>
      </c>
      <c r="S196" s="1">
        <v>0.0</v>
      </c>
      <c r="T196" s="1">
        <v>0.0</v>
      </c>
      <c r="U196" s="2">
        <f t="shared" si="6"/>
        <v>4</v>
      </c>
    </row>
    <row r="197">
      <c r="A197" s="1" t="s">
        <v>49</v>
      </c>
      <c r="B197" s="1">
        <v>83992.95313</v>
      </c>
      <c r="C197" s="1">
        <f t="shared" si="1"/>
        <v>84</v>
      </c>
      <c r="D197" s="1">
        <f t="shared" si="2"/>
        <v>83992953.13</v>
      </c>
      <c r="E197" s="1">
        <v>75.87400055</v>
      </c>
      <c r="F197" s="1">
        <f t="shared" si="3"/>
        <v>63728813.72</v>
      </c>
      <c r="G197" s="1">
        <f t="shared" si="4"/>
        <v>24.12599945</v>
      </c>
      <c r="H197" s="1">
        <v>97.48263633</v>
      </c>
      <c r="I197" s="1">
        <f t="shared" ref="I197:I214" si="19">ROUNDUP(H197,0)</f>
        <v>98</v>
      </c>
      <c r="J197" s="1">
        <v>1.938311229</v>
      </c>
      <c r="K197" s="1">
        <v>0.5137973631</v>
      </c>
      <c r="L197" s="1">
        <v>0.06525508185</v>
      </c>
      <c r="M197" s="1">
        <v>93.82873538</v>
      </c>
      <c r="N197" s="1">
        <v>4.297948765</v>
      </c>
      <c r="O197" s="1">
        <v>1.602839669</v>
      </c>
      <c r="P197" s="1">
        <v>0.2704761905</v>
      </c>
      <c r="Q197" s="1">
        <v>98.64448672</v>
      </c>
      <c r="R197" s="1">
        <v>1.188006671</v>
      </c>
      <c r="S197" s="1">
        <v>0.1675066077</v>
      </c>
      <c r="T197" s="1">
        <v>0.0</v>
      </c>
      <c r="U197" s="2">
        <f t="shared" si="6"/>
        <v>2</v>
      </c>
    </row>
    <row r="198">
      <c r="A198" s="1" t="s">
        <v>29</v>
      </c>
      <c r="B198" s="1">
        <v>84339.07031</v>
      </c>
      <c r="C198" s="1">
        <f t="shared" si="1"/>
        <v>85</v>
      </c>
      <c r="D198" s="1">
        <f t="shared" si="2"/>
        <v>84339070.31</v>
      </c>
      <c r="E198" s="1">
        <v>76.10500336</v>
      </c>
      <c r="F198" s="1">
        <f t="shared" si="3"/>
        <v>64186252.29</v>
      </c>
      <c r="G198" s="1">
        <f t="shared" si="4"/>
        <v>23.89499664</v>
      </c>
      <c r="H198" s="1">
        <v>97.01426916</v>
      </c>
      <c r="I198" s="1">
        <f t="shared" si="19"/>
        <v>98</v>
      </c>
      <c r="J198" s="1">
        <v>2.023078075</v>
      </c>
      <c r="K198" s="1">
        <v>0.7376749545</v>
      </c>
      <c r="L198" s="1">
        <v>0.2249778093</v>
      </c>
      <c r="M198" s="1">
        <v>96.02516977</v>
      </c>
      <c r="N198" s="1">
        <v>2.684574639</v>
      </c>
      <c r="O198" s="1">
        <v>0.7882555911</v>
      </c>
      <c r="P198" s="1">
        <v>0.502</v>
      </c>
      <c r="Q198" s="1">
        <v>97.32481783</v>
      </c>
      <c r="R198" s="1">
        <v>1.815385203</v>
      </c>
      <c r="S198" s="1">
        <v>0.7217969634</v>
      </c>
      <c r="T198" s="1">
        <v>0.138</v>
      </c>
      <c r="U198" s="2">
        <f t="shared" si="6"/>
        <v>3</v>
      </c>
    </row>
    <row r="199">
      <c r="A199" s="1" t="s">
        <v>49</v>
      </c>
      <c r="B199" s="1">
        <v>89561.40625</v>
      </c>
      <c r="C199" s="1">
        <f t="shared" si="1"/>
        <v>90</v>
      </c>
      <c r="D199" s="1">
        <f t="shared" si="2"/>
        <v>89561406.25</v>
      </c>
      <c r="E199" s="1">
        <v>45.63800049</v>
      </c>
      <c r="F199" s="1">
        <f t="shared" si="3"/>
        <v>40874035.02</v>
      </c>
      <c r="G199" s="1">
        <f t="shared" si="4"/>
        <v>54.36199951</v>
      </c>
      <c r="H199" s="1">
        <v>45.95212696</v>
      </c>
      <c r="I199" s="1">
        <f t="shared" si="19"/>
        <v>46</v>
      </c>
      <c r="J199" s="1">
        <v>13.44122447</v>
      </c>
      <c r="K199" s="1">
        <v>32.54231607</v>
      </c>
      <c r="L199" s="1">
        <v>8.064332495</v>
      </c>
      <c r="M199" s="1">
        <v>21.98279234</v>
      </c>
      <c r="N199" s="1">
        <v>12.68294146</v>
      </c>
      <c r="O199" s="1">
        <v>51.21598167</v>
      </c>
      <c r="P199" s="1">
        <v>14.11828453</v>
      </c>
      <c r="Q199" s="1">
        <v>74.50335478</v>
      </c>
      <c r="R199" s="1">
        <v>14.34445818</v>
      </c>
      <c r="S199" s="1">
        <v>10.29905862</v>
      </c>
      <c r="T199" s="1">
        <v>0.8531284131</v>
      </c>
      <c r="U199" s="2">
        <f t="shared" si="6"/>
        <v>2</v>
      </c>
    </row>
    <row r="200">
      <c r="A200" s="1" t="s">
        <v>49</v>
      </c>
      <c r="B200" s="1">
        <v>97338.58594</v>
      </c>
      <c r="C200" s="1">
        <f t="shared" si="1"/>
        <v>98</v>
      </c>
      <c r="D200" s="1">
        <f t="shared" si="2"/>
        <v>97338585.94</v>
      </c>
      <c r="E200" s="1">
        <v>37.34000015</v>
      </c>
      <c r="F200" s="1">
        <f t="shared" si="3"/>
        <v>36346228.14</v>
      </c>
      <c r="G200" s="1">
        <f t="shared" si="4"/>
        <v>62.65999985</v>
      </c>
      <c r="H200" s="1">
        <v>96.88435687</v>
      </c>
      <c r="I200" s="1">
        <f t="shared" si="19"/>
        <v>97</v>
      </c>
      <c r="J200" s="1">
        <v>0.0</v>
      </c>
      <c r="K200" s="1">
        <v>3.115643126</v>
      </c>
      <c r="L200" s="1">
        <v>0.0</v>
      </c>
      <c r="M200" s="1">
        <v>95.51453844</v>
      </c>
      <c r="N200" s="1">
        <v>0.0</v>
      </c>
      <c r="O200" s="1">
        <v>4.48546156</v>
      </c>
      <c r="P200" s="1">
        <v>0.0</v>
      </c>
      <c r="Q200" s="1">
        <v>99.18304001</v>
      </c>
      <c r="R200" s="1">
        <v>0.0</v>
      </c>
      <c r="S200" s="1">
        <v>0.816959987</v>
      </c>
      <c r="T200" s="1">
        <v>0.0</v>
      </c>
      <c r="U200" s="2">
        <f t="shared" si="6"/>
        <v>2</v>
      </c>
    </row>
    <row r="201">
      <c r="A201" s="1" t="s">
        <v>49</v>
      </c>
      <c r="B201" s="1">
        <v>102334.4063</v>
      </c>
      <c r="C201" s="1">
        <f t="shared" si="1"/>
        <v>103</v>
      </c>
      <c r="D201" s="1">
        <f t="shared" si="2"/>
        <v>102334406.3</v>
      </c>
      <c r="E201" s="1">
        <v>42.78300095</v>
      </c>
      <c r="F201" s="1">
        <f t="shared" si="3"/>
        <v>43781730.02</v>
      </c>
      <c r="G201" s="1">
        <f t="shared" si="4"/>
        <v>57.21699905</v>
      </c>
      <c r="H201" s="1">
        <v>99.44017596</v>
      </c>
      <c r="I201" s="1">
        <f t="shared" si="19"/>
        <v>100</v>
      </c>
      <c r="J201" s="1">
        <v>0.2376091086</v>
      </c>
      <c r="K201" s="1">
        <v>0.3222149265</v>
      </c>
      <c r="L201" s="1">
        <v>0.0</v>
      </c>
      <c r="M201" s="1">
        <v>99.33283515</v>
      </c>
      <c r="N201" s="1">
        <v>0.3359418224</v>
      </c>
      <c r="O201" s="1">
        <v>0.3312230319</v>
      </c>
      <c r="P201" s="1">
        <v>0.0</v>
      </c>
      <c r="Q201" s="1">
        <v>99.5837311</v>
      </c>
      <c r="R201" s="1">
        <v>0.1061012067</v>
      </c>
      <c r="S201" s="1">
        <v>0.3101676943</v>
      </c>
      <c r="T201" s="1">
        <v>0.0</v>
      </c>
      <c r="U201" s="2">
        <f t="shared" si="6"/>
        <v>2</v>
      </c>
    </row>
    <row r="202">
      <c r="A202" s="1" t="s">
        <v>49</v>
      </c>
      <c r="B202" s="1">
        <v>109581.0859</v>
      </c>
      <c r="C202" s="1">
        <f t="shared" si="1"/>
        <v>110</v>
      </c>
      <c r="D202" s="1">
        <f t="shared" si="2"/>
        <v>109581085.9</v>
      </c>
      <c r="E202" s="1">
        <v>47.40799713</v>
      </c>
      <c r="F202" s="1">
        <f t="shared" si="3"/>
        <v>51950198.06</v>
      </c>
      <c r="G202" s="1">
        <f t="shared" si="4"/>
        <v>52.59200287</v>
      </c>
      <c r="H202" s="1">
        <v>94.10903456</v>
      </c>
      <c r="I202" s="1">
        <f t="shared" si="19"/>
        <v>95</v>
      </c>
      <c r="J202" s="1">
        <v>2.856486137</v>
      </c>
      <c r="K202" s="1">
        <v>3.034479307</v>
      </c>
      <c r="L202" s="1">
        <v>0.0</v>
      </c>
      <c r="M202" s="1">
        <v>91.06193322</v>
      </c>
      <c r="N202" s="1">
        <v>3.959520428</v>
      </c>
      <c r="O202" s="1">
        <v>4.978546347</v>
      </c>
      <c r="P202" s="1">
        <v>0.0</v>
      </c>
      <c r="Q202" s="1">
        <v>97.4893325</v>
      </c>
      <c r="R202" s="1">
        <v>1.632836465</v>
      </c>
      <c r="S202" s="1">
        <v>0.877831036</v>
      </c>
      <c r="T202" s="1">
        <v>0.0</v>
      </c>
      <c r="U202" s="2">
        <f t="shared" si="6"/>
        <v>2</v>
      </c>
    </row>
    <row r="203">
      <c r="A203" s="1" t="s">
        <v>87</v>
      </c>
      <c r="B203" s="1">
        <v>114963.5859</v>
      </c>
      <c r="C203" s="1">
        <f t="shared" si="1"/>
        <v>115</v>
      </c>
      <c r="D203" s="1">
        <f t="shared" si="2"/>
        <v>114963585.9</v>
      </c>
      <c r="E203" s="1">
        <v>21.69499969</v>
      </c>
      <c r="F203" s="1">
        <f t="shared" si="3"/>
        <v>24941349.6</v>
      </c>
      <c r="G203" s="1">
        <f t="shared" si="4"/>
        <v>78.30500031</v>
      </c>
      <c r="H203" s="1">
        <v>49.61557274</v>
      </c>
      <c r="I203" s="1">
        <f t="shared" si="19"/>
        <v>50</v>
      </c>
      <c r="J203" s="1">
        <v>26.74071964</v>
      </c>
      <c r="K203" s="1">
        <v>18.63506013</v>
      </c>
      <c r="L203" s="1">
        <v>5.008647486</v>
      </c>
      <c r="M203" s="1">
        <v>40.03013919</v>
      </c>
      <c r="N203" s="1">
        <v>30.18668334</v>
      </c>
      <c r="O203" s="1">
        <v>23.49561327</v>
      </c>
      <c r="P203" s="1">
        <v>6.287564203</v>
      </c>
      <c r="Q203" s="1">
        <v>84.21282816</v>
      </c>
      <c r="R203" s="1">
        <v>14.30300858</v>
      </c>
      <c r="S203" s="1">
        <v>1.091582355</v>
      </c>
      <c r="T203" s="1">
        <v>0.392580896</v>
      </c>
      <c r="U203" s="2">
        <f t="shared" si="6"/>
        <v>1</v>
      </c>
    </row>
    <row r="204">
      <c r="A204" s="1" t="s">
        <v>26</v>
      </c>
      <c r="B204" s="1">
        <v>126476.4609</v>
      </c>
      <c r="C204" s="1">
        <f t="shared" si="1"/>
        <v>127</v>
      </c>
      <c r="D204" s="1">
        <f t="shared" si="2"/>
        <v>126476460.9</v>
      </c>
      <c r="E204" s="1">
        <v>91.78199768</v>
      </c>
      <c r="F204" s="1">
        <f t="shared" si="3"/>
        <v>116082622.4</v>
      </c>
      <c r="G204" s="1">
        <f t="shared" si="4"/>
        <v>8.21800232</v>
      </c>
      <c r="H204" s="1">
        <v>99.07891245</v>
      </c>
      <c r="I204" s="1">
        <f t="shared" si="19"/>
        <v>100</v>
      </c>
      <c r="J204" s="1">
        <v>0.0</v>
      </c>
      <c r="K204" s="1">
        <v>0.9210875467</v>
      </c>
      <c r="L204" s="1">
        <v>0.0</v>
      </c>
      <c r="M204" s="1" t="s">
        <v>18</v>
      </c>
      <c r="N204" s="1" t="s">
        <v>18</v>
      </c>
      <c r="O204" s="1" t="s">
        <v>18</v>
      </c>
      <c r="P204" s="1" t="s">
        <v>18</v>
      </c>
      <c r="Q204" s="1" t="s">
        <v>18</v>
      </c>
      <c r="R204" s="1" t="s">
        <v>18</v>
      </c>
      <c r="S204" s="1" t="s">
        <v>18</v>
      </c>
      <c r="T204" s="1" t="s">
        <v>18</v>
      </c>
      <c r="U204" s="2">
        <f t="shared" si="6"/>
        <v>4</v>
      </c>
    </row>
    <row r="205">
      <c r="A205" s="1" t="s">
        <v>29</v>
      </c>
      <c r="B205" s="1">
        <v>128932.75</v>
      </c>
      <c r="C205" s="1">
        <f t="shared" si="1"/>
        <v>129</v>
      </c>
      <c r="D205" s="1">
        <f t="shared" si="2"/>
        <v>128932750</v>
      </c>
      <c r="E205" s="1">
        <v>80.73099518</v>
      </c>
      <c r="F205" s="1">
        <f t="shared" si="3"/>
        <v>104088692.2</v>
      </c>
      <c r="G205" s="1">
        <f t="shared" si="4"/>
        <v>19.26900482</v>
      </c>
      <c r="H205" s="1">
        <v>99.67956828</v>
      </c>
      <c r="I205" s="1">
        <f t="shared" si="19"/>
        <v>100</v>
      </c>
      <c r="J205" s="1">
        <v>0.0</v>
      </c>
      <c r="K205" s="1">
        <v>0.3204317169</v>
      </c>
      <c r="L205" s="1">
        <v>0.0</v>
      </c>
      <c r="M205" s="1">
        <v>98.33706893</v>
      </c>
      <c r="N205" s="1">
        <v>0.0</v>
      </c>
      <c r="O205" s="1">
        <v>1.662931067</v>
      </c>
      <c r="P205" s="1">
        <v>0.0</v>
      </c>
      <c r="Q205" s="1">
        <v>100.0</v>
      </c>
      <c r="R205" s="1">
        <v>0.0</v>
      </c>
      <c r="S205" s="1">
        <v>0.0</v>
      </c>
      <c r="T205" s="1">
        <v>0.0</v>
      </c>
      <c r="U205" s="2">
        <f t="shared" si="6"/>
        <v>3</v>
      </c>
    </row>
    <row r="206">
      <c r="A206" s="1" t="s">
        <v>29</v>
      </c>
      <c r="B206" s="1">
        <v>145934.4531</v>
      </c>
      <c r="C206" s="1">
        <f t="shared" si="1"/>
        <v>146</v>
      </c>
      <c r="D206" s="1">
        <f t="shared" si="2"/>
        <v>145934453.1</v>
      </c>
      <c r="E206" s="1">
        <v>74.75400543</v>
      </c>
      <c r="F206" s="1">
        <f t="shared" si="3"/>
        <v>109091849</v>
      </c>
      <c r="G206" s="1">
        <f t="shared" si="4"/>
        <v>25.24599457</v>
      </c>
      <c r="H206" s="1">
        <v>96.99254807</v>
      </c>
      <c r="I206" s="1">
        <f t="shared" si="19"/>
        <v>97</v>
      </c>
      <c r="J206" s="1">
        <v>0.6219963766</v>
      </c>
      <c r="K206" s="1">
        <v>2.38545555</v>
      </c>
      <c r="L206" s="1" t="s">
        <v>18</v>
      </c>
      <c r="M206" s="1">
        <v>91.54410196</v>
      </c>
      <c r="N206" s="1">
        <v>1.583163513</v>
      </c>
      <c r="O206" s="1">
        <v>6.872734531</v>
      </c>
      <c r="P206" s="1" t="s">
        <v>18</v>
      </c>
      <c r="Q206" s="1">
        <v>98.83259961</v>
      </c>
      <c r="R206" s="1">
        <v>0.2973899687</v>
      </c>
      <c r="S206" s="1">
        <v>0.6700104236</v>
      </c>
      <c r="T206" s="1">
        <v>0.2</v>
      </c>
      <c r="U206" s="2">
        <f t="shared" si="6"/>
        <v>3</v>
      </c>
    </row>
    <row r="207">
      <c r="A207" s="1" t="s">
        <v>49</v>
      </c>
      <c r="B207" s="1">
        <v>164689.3906</v>
      </c>
      <c r="C207" s="1">
        <f t="shared" si="1"/>
        <v>165</v>
      </c>
      <c r="D207" s="1">
        <f t="shared" si="2"/>
        <v>164689390.6</v>
      </c>
      <c r="E207" s="1">
        <v>38.17700195</v>
      </c>
      <c r="F207" s="1">
        <f t="shared" si="3"/>
        <v>62873471.86</v>
      </c>
      <c r="G207" s="1">
        <f t="shared" si="4"/>
        <v>61.82299805</v>
      </c>
      <c r="H207" s="1">
        <v>97.69796025</v>
      </c>
      <c r="I207" s="1">
        <f t="shared" si="19"/>
        <v>98</v>
      </c>
      <c r="J207" s="1">
        <v>1.156425878</v>
      </c>
      <c r="K207" s="1">
        <v>0.4626557002</v>
      </c>
      <c r="L207" s="1">
        <v>0.6829581735</v>
      </c>
      <c r="M207" s="1">
        <v>97.88023776</v>
      </c>
      <c r="N207" s="1">
        <v>0.8581049804</v>
      </c>
      <c r="O207" s="1">
        <v>0.3164802414</v>
      </c>
      <c r="P207" s="1">
        <v>0.9451770151</v>
      </c>
      <c r="Q207" s="1">
        <v>97.40277797</v>
      </c>
      <c r="R207" s="1">
        <v>1.639520121</v>
      </c>
      <c r="S207" s="1">
        <v>0.6993752147</v>
      </c>
      <c r="T207" s="1">
        <v>0.2583266934</v>
      </c>
      <c r="U207" s="2">
        <f t="shared" si="6"/>
        <v>2</v>
      </c>
    </row>
    <row r="208">
      <c r="A208" s="1" t="s">
        <v>49</v>
      </c>
      <c r="B208" s="1">
        <v>206139.5938</v>
      </c>
      <c r="C208" s="1">
        <f t="shared" si="1"/>
        <v>207</v>
      </c>
      <c r="D208" s="1">
        <f t="shared" si="2"/>
        <v>206139593.8</v>
      </c>
      <c r="E208" s="1">
        <v>51.95800018</v>
      </c>
      <c r="F208" s="1">
        <f t="shared" si="3"/>
        <v>107106010.5</v>
      </c>
      <c r="G208" s="1">
        <f t="shared" si="4"/>
        <v>48.04199982</v>
      </c>
      <c r="H208" s="1">
        <v>77.60905338</v>
      </c>
      <c r="I208" s="1">
        <f t="shared" si="19"/>
        <v>78</v>
      </c>
      <c r="J208" s="1">
        <v>4.979399343</v>
      </c>
      <c r="K208" s="1">
        <v>11.79691148</v>
      </c>
      <c r="L208" s="1">
        <v>5.614635794</v>
      </c>
      <c r="M208" s="1">
        <v>61.65821003</v>
      </c>
      <c r="N208" s="1">
        <v>7.128924583</v>
      </c>
      <c r="O208" s="1">
        <v>20.92487535</v>
      </c>
      <c r="P208" s="1">
        <v>10.28799004</v>
      </c>
      <c r="Q208" s="1">
        <v>92.35770519</v>
      </c>
      <c r="R208" s="1">
        <v>2.99188065</v>
      </c>
      <c r="S208" s="1">
        <v>3.356908786</v>
      </c>
      <c r="T208" s="1">
        <v>1.29350537</v>
      </c>
      <c r="U208" s="2">
        <f t="shared" si="6"/>
        <v>2</v>
      </c>
    </row>
    <row r="209">
      <c r="A209" s="1" t="s">
        <v>29</v>
      </c>
      <c r="B209" s="1">
        <v>212559.4063</v>
      </c>
      <c r="C209" s="1">
        <f t="shared" si="1"/>
        <v>213</v>
      </c>
      <c r="D209" s="1">
        <f t="shared" si="2"/>
        <v>212559406.3</v>
      </c>
      <c r="E209" s="1">
        <v>87.07299805</v>
      </c>
      <c r="F209" s="1">
        <f t="shared" si="3"/>
        <v>185081847.7</v>
      </c>
      <c r="G209" s="1">
        <f t="shared" si="4"/>
        <v>12.92700195</v>
      </c>
      <c r="H209" s="1">
        <v>99.32085299</v>
      </c>
      <c r="I209" s="1">
        <f t="shared" si="19"/>
        <v>100</v>
      </c>
      <c r="J209" s="1">
        <v>0.1265490039</v>
      </c>
      <c r="K209" s="1">
        <v>0.5525980099</v>
      </c>
      <c r="L209" s="1" t="s">
        <v>18</v>
      </c>
      <c r="M209" s="1">
        <v>95.94525953</v>
      </c>
      <c r="N209" s="1">
        <v>0.9789509154</v>
      </c>
      <c r="O209" s="1">
        <v>3.075789551</v>
      </c>
      <c r="P209" s="1" t="s">
        <v>18</v>
      </c>
      <c r="Q209" s="1">
        <v>99.82200131</v>
      </c>
      <c r="R209" s="1">
        <v>0.0</v>
      </c>
      <c r="S209" s="1">
        <v>0.1779986949</v>
      </c>
      <c r="T209" s="1">
        <v>0.0</v>
      </c>
      <c r="U209" s="2">
        <f t="shared" si="6"/>
        <v>3</v>
      </c>
    </row>
    <row r="210">
      <c r="A210" s="1" t="s">
        <v>49</v>
      </c>
      <c r="B210" s="1">
        <v>220892.3281</v>
      </c>
      <c r="C210" s="1">
        <f t="shared" si="1"/>
        <v>221</v>
      </c>
      <c r="D210" s="1">
        <f t="shared" si="2"/>
        <v>220892328.1</v>
      </c>
      <c r="E210" s="1">
        <v>37.16500092</v>
      </c>
      <c r="F210" s="1">
        <f t="shared" si="3"/>
        <v>82094635.77</v>
      </c>
      <c r="G210" s="1">
        <f t="shared" si="4"/>
        <v>62.83499908</v>
      </c>
      <c r="H210" s="1">
        <v>90.14896508</v>
      </c>
      <c r="I210" s="1">
        <f t="shared" si="19"/>
        <v>91</v>
      </c>
      <c r="J210" s="1">
        <v>3.822279525</v>
      </c>
      <c r="K210" s="1">
        <v>4.413307574</v>
      </c>
      <c r="L210" s="1">
        <v>1.61544782</v>
      </c>
      <c r="M210" s="1">
        <v>88.59986076</v>
      </c>
      <c r="N210" s="1">
        <v>3.852278117</v>
      </c>
      <c r="O210" s="1">
        <v>5.174596509</v>
      </c>
      <c r="P210" s="1">
        <v>2.373264617</v>
      </c>
      <c r="Q210" s="1">
        <v>92.76804985</v>
      </c>
      <c r="R210" s="1">
        <v>3.771561162</v>
      </c>
      <c r="S210" s="1">
        <v>3.126184571</v>
      </c>
      <c r="T210" s="1">
        <v>0.3342044223</v>
      </c>
      <c r="U210" s="2">
        <f t="shared" si="6"/>
        <v>2</v>
      </c>
    </row>
    <row r="211">
      <c r="A211" s="1" t="s">
        <v>49</v>
      </c>
      <c r="B211" s="1">
        <v>273523.625</v>
      </c>
      <c r="C211" s="1">
        <f t="shared" si="1"/>
        <v>274</v>
      </c>
      <c r="D211" s="1">
        <f t="shared" si="2"/>
        <v>273523625</v>
      </c>
      <c r="E211" s="1">
        <v>56.64099884</v>
      </c>
      <c r="F211" s="1">
        <f t="shared" si="3"/>
        <v>154926513.3</v>
      </c>
      <c r="G211" s="1">
        <f t="shared" si="4"/>
        <v>43.35900116</v>
      </c>
      <c r="H211" s="1">
        <v>92.41534961</v>
      </c>
      <c r="I211" s="1">
        <f t="shared" si="19"/>
        <v>93</v>
      </c>
      <c r="J211" s="1">
        <v>0.8554746335</v>
      </c>
      <c r="K211" s="1">
        <v>5.553871666</v>
      </c>
      <c r="L211" s="1">
        <v>1.175304087</v>
      </c>
      <c r="M211" s="1">
        <v>85.66796238</v>
      </c>
      <c r="N211" s="1">
        <v>1.17809123</v>
      </c>
      <c r="O211" s="1">
        <v>10.61491462</v>
      </c>
      <c r="P211" s="1">
        <v>2.539031772</v>
      </c>
      <c r="Q211" s="1">
        <v>97.58051207</v>
      </c>
      <c r="R211" s="1">
        <v>0.6085098345</v>
      </c>
      <c r="S211" s="1">
        <v>1.679615139</v>
      </c>
      <c r="T211" s="1">
        <v>0.1313629588</v>
      </c>
      <c r="U211" s="2">
        <f t="shared" si="6"/>
        <v>2</v>
      </c>
    </row>
    <row r="212">
      <c r="A212" s="1" t="s">
        <v>26</v>
      </c>
      <c r="B212" s="1">
        <v>331002.6563</v>
      </c>
      <c r="C212" s="1">
        <f t="shared" si="1"/>
        <v>332</v>
      </c>
      <c r="D212" s="1">
        <f t="shared" si="2"/>
        <v>331002656.3</v>
      </c>
      <c r="E212" s="1">
        <v>82.66400146</v>
      </c>
      <c r="F212" s="1">
        <f t="shared" si="3"/>
        <v>273620040.6</v>
      </c>
      <c r="G212" s="1">
        <f t="shared" si="4"/>
        <v>17.33599854</v>
      </c>
      <c r="H212" s="1">
        <v>99.88352668</v>
      </c>
      <c r="I212" s="1">
        <f t="shared" si="19"/>
        <v>100</v>
      </c>
      <c r="J212" s="1">
        <v>0.0</v>
      </c>
      <c r="K212" s="1">
        <v>0.1164733182</v>
      </c>
      <c r="L212" s="1">
        <v>0.0</v>
      </c>
      <c r="M212" s="1">
        <v>99.67078734</v>
      </c>
      <c r="N212" s="1">
        <v>0.0</v>
      </c>
      <c r="O212" s="1">
        <v>0.3292126628</v>
      </c>
      <c r="P212" s="1">
        <v>0.0</v>
      </c>
      <c r="Q212" s="1">
        <v>99.92814447</v>
      </c>
      <c r="R212" s="1">
        <v>0.0</v>
      </c>
      <c r="S212" s="1">
        <v>0.0718555296</v>
      </c>
      <c r="T212" s="1">
        <v>0.0</v>
      </c>
      <c r="U212" s="2">
        <f t="shared" si="6"/>
        <v>4</v>
      </c>
    </row>
    <row r="213">
      <c r="A213" s="1" t="s">
        <v>49</v>
      </c>
      <c r="B213" s="1">
        <v>1380004.375</v>
      </c>
      <c r="C213" s="1">
        <f t="shared" si="1"/>
        <v>1381</v>
      </c>
      <c r="D213" s="1">
        <f t="shared" si="2"/>
        <v>1380004375</v>
      </c>
      <c r="E213" s="1">
        <v>34.9260025</v>
      </c>
      <c r="F213" s="1">
        <f t="shared" si="3"/>
        <v>481980362.5</v>
      </c>
      <c r="G213" s="1">
        <f t="shared" si="4"/>
        <v>65.0739975</v>
      </c>
      <c r="H213" s="1">
        <v>90.48952503</v>
      </c>
      <c r="I213" s="1">
        <f t="shared" si="19"/>
        <v>91</v>
      </c>
      <c r="J213" s="1">
        <v>4.983602562</v>
      </c>
      <c r="K213" s="1">
        <v>3.963153945</v>
      </c>
      <c r="L213" s="1">
        <v>0.5637184626</v>
      </c>
      <c r="M213" s="1">
        <v>88.78250313</v>
      </c>
      <c r="N213" s="1">
        <v>5.902210054</v>
      </c>
      <c r="O213" s="1">
        <v>4.57637573</v>
      </c>
      <c r="P213" s="1">
        <v>0.7389110856</v>
      </c>
      <c r="Q213" s="1">
        <v>93.6700363</v>
      </c>
      <c r="R213" s="1">
        <v>3.272056027</v>
      </c>
      <c r="S213" s="1">
        <v>2.820607523</v>
      </c>
      <c r="T213" s="1">
        <v>0.2373001538</v>
      </c>
      <c r="U213" s="2">
        <f t="shared" si="6"/>
        <v>2</v>
      </c>
    </row>
    <row r="214">
      <c r="A214" s="1" t="s">
        <v>29</v>
      </c>
      <c r="B214" s="1">
        <v>1463140.5</v>
      </c>
      <c r="C214" s="1">
        <f t="shared" si="1"/>
        <v>1464</v>
      </c>
      <c r="D214" s="1">
        <f t="shared" si="2"/>
        <v>1463140500</v>
      </c>
      <c r="E214" s="1">
        <v>61.71308899</v>
      </c>
      <c r="F214" s="1">
        <f t="shared" si="3"/>
        <v>902949198.8</v>
      </c>
      <c r="G214" s="1">
        <f t="shared" si="4"/>
        <v>38.28691101</v>
      </c>
      <c r="H214" s="1">
        <v>94.26111059</v>
      </c>
      <c r="I214" s="1">
        <f t="shared" si="19"/>
        <v>95</v>
      </c>
      <c r="J214" s="1">
        <v>0.8147213297</v>
      </c>
      <c r="K214" s="1">
        <v>4.725451938</v>
      </c>
      <c r="L214" s="1">
        <v>0.1987161441</v>
      </c>
      <c r="M214" s="1">
        <v>89.66123351</v>
      </c>
      <c r="N214" s="1">
        <v>1.832679086</v>
      </c>
      <c r="O214" s="1">
        <v>8.506087409</v>
      </c>
      <c r="P214" s="1">
        <v>0.0</v>
      </c>
      <c r="Q214" s="1">
        <v>97.11488267</v>
      </c>
      <c r="R214" s="1">
        <v>0.1831784927</v>
      </c>
      <c r="S214" s="1">
        <v>2.37993884</v>
      </c>
      <c r="T214" s="1">
        <v>0.322</v>
      </c>
      <c r="U214" s="2">
        <f t="shared" si="6"/>
        <v>3</v>
      </c>
    </row>
  </sheetData>
  <autoFilter ref="$A$1:$T$2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25"/>
    <col customWidth="1" min="3" max="3" width="18.75"/>
    <col customWidth="1" min="4" max="4" width="19.13"/>
    <col customWidth="1" min="5" max="5" width="16.25"/>
  </cols>
  <sheetData>
    <row r="1"/>
    <row r="2" hidden="1"/>
    <row r="3"/>
    <row r="4"/>
    <row r="5"/>
    <row r="6"/>
    <row r="7"/>
  </sheetData>
  <autoFilter ref="$A$1:$G$7">
    <filterColumn colId="1">
      <filters>
        <filter val="3399310.231"/>
        <filter val="1212076.068"/>
        <filter val="2547619.307"/>
        <filter val="37264.34029"/>
        <filter val="590425.1621"/>
      </filters>
    </filterColumn>
  </autoFilter>
  <drawing r:id="rId2"/>
</worksheet>
</file>